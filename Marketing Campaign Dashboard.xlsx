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pivotTables/pivotTable8.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pivotTables/pivotTable9.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p\Documents\EXCEL\"/>
    </mc:Choice>
  </mc:AlternateContent>
  <xr:revisionPtr revIDLastSave="0" documentId="13_ncr:2001_{2DF84F9C-530F-4F67-8B84-DCD0A573BF70}" xr6:coauthVersionLast="47" xr6:coauthVersionMax="47" xr10:uidLastSave="{00000000-0000-0000-0000-000000000000}"/>
  <bookViews>
    <workbookView xWindow="-110" yWindow="-110" windowWidth="19420" windowHeight="10300" firstSheet="2" activeTab="3" xr2:uid="{CD117198-3564-43C6-A4DA-A7E4CBE4EA12}"/>
  </bookViews>
  <sheets>
    <sheet name="Campaign Metrics" sheetId="2" r:id="rId1"/>
    <sheet name="Charts &amp; Tables" sheetId="4" r:id="rId2"/>
    <sheet name="Dashboard" sheetId="5" r:id="rId3"/>
    <sheet name="Location Performance" sheetId="9" r:id="rId4"/>
    <sheet name="Campaign Performance" sheetId="7" r:id="rId5"/>
    <sheet name="Monthly Sales" sheetId="6" r:id="rId6"/>
  </sheets>
  <externalReferences>
    <externalReference r:id="rId7"/>
  </externalReferences>
  <definedNames>
    <definedName name="ExternalData_1" localSheetId="0" hidden="1">'Campaign Metrics'!$A$1:$F$155</definedName>
    <definedName name="Slicer_Campaign_Name">#N/A</definedName>
    <definedName name="Slicer_Location">#N/A</definedName>
    <definedName name="Slicer_Location1">#N/A</definedName>
  </definedNames>
  <calcPr calcId="191029"/>
  <pivotCaches>
    <pivotCache cacheId="2" r:id="rId8"/>
    <pivotCache cacheId="3"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5" l="1"/>
  <c r="F22" i="5"/>
  <c r="F21" i="5"/>
  <c r="F20" i="5"/>
  <c r="F19" i="5"/>
  <c r="F18" i="5"/>
  <c r="F17" i="5"/>
  <c r="F12" i="5"/>
  <c r="F11" i="5"/>
  <c r="F10" i="5"/>
  <c r="F9" i="5"/>
  <c r="F8" i="5"/>
  <c r="F7" i="5"/>
  <c r="E18" i="9"/>
  <c r="E19" i="9"/>
  <c r="E20" i="9"/>
  <c r="E21" i="9"/>
  <c r="E22" i="9"/>
  <c r="E17" i="9"/>
  <c r="E13" i="7"/>
  <c r="E16" i="7"/>
  <c r="E14" i="7"/>
  <c r="E18" i="7"/>
  <c r="E12" i="7"/>
  <c r="E15" i="7"/>
  <c r="E17" i="7"/>
  <c r="F256" i="4"/>
  <c r="F257" i="4"/>
  <c r="F258" i="4"/>
  <c r="F259" i="4"/>
  <c r="F260" i="4"/>
  <c r="F255" i="4"/>
  <c r="E236" i="4"/>
  <c r="E241" i="4"/>
  <c r="E240" i="4"/>
  <c r="E238" i="4"/>
  <c r="E237" i="4"/>
  <c r="E242" i="4"/>
  <c r="E23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F4B040-1154-40CC-B175-3F5810613915}" keepAlive="1" name="Query - Campaign Metrics" description="Connection to the 'Campaign Metrics' query in the workbook." type="5" refreshedVersion="8" background="1" saveData="1">
    <dbPr connection="Provider=Microsoft.Mashup.OleDb.1;Data Source=$Workbook$;Location=&quot;Campaign Metrics&quot;;Extended Properties=&quot;&quot;" command="SELECT * FROM [Campaign Metrics]"/>
  </connection>
</connections>
</file>

<file path=xl/sharedStrings.xml><?xml version="1.0" encoding="utf-8"?>
<sst xmlns="http://schemas.openxmlformats.org/spreadsheetml/2006/main" count="426" uniqueCount="47">
  <si>
    <t>Date</t>
  </si>
  <si>
    <t>Campaign Name</t>
  </si>
  <si>
    <t>Location</t>
  </si>
  <si>
    <t>Impressions</t>
  </si>
  <si>
    <t>Clicks</t>
  </si>
  <si>
    <t>Units Sold</t>
  </si>
  <si>
    <t>The Pinkman Promotion</t>
  </si>
  <si>
    <t>Car Wash Forums</t>
  </si>
  <si>
    <t>Email Campaigns</t>
  </si>
  <si>
    <t>Fan Forums</t>
  </si>
  <si>
    <t>Fast Food Sites</t>
  </si>
  <si>
    <t>Streaming Service</t>
  </si>
  <si>
    <t>Blue Sky Special</t>
  </si>
  <si>
    <t>Crystal Clear Discount</t>
  </si>
  <si>
    <t>Heisenberg'S Deals</t>
  </si>
  <si>
    <t>Mt Lab Mania</t>
  </si>
  <si>
    <t>Walter Promo</t>
  </si>
  <si>
    <t>Row Labels</t>
  </si>
  <si>
    <t>Grand Total</t>
  </si>
  <si>
    <t>Sum of Units Sold</t>
  </si>
  <si>
    <t>Sum of Impressions</t>
  </si>
  <si>
    <t>Sum of Clicks</t>
  </si>
  <si>
    <t>Conversion Rate per Location</t>
  </si>
  <si>
    <t>Conversion Rate per Campaign</t>
  </si>
  <si>
    <t>Aug</t>
  </si>
  <si>
    <t>Sep</t>
  </si>
  <si>
    <t>Oct</t>
  </si>
  <si>
    <t>Nov</t>
  </si>
  <si>
    <t>Dec</t>
  </si>
  <si>
    <t>Monthly Sales</t>
  </si>
  <si>
    <t>August had the lowest sales with 3,226 units sold.</t>
  </si>
  <si>
    <t>Campaign Performance</t>
  </si>
  <si>
    <t>Conversion Rate</t>
  </si>
  <si>
    <t>November had the highest sales with 6,348 units sold.</t>
  </si>
  <si>
    <t>Walter Promo was the most efficient campaign (59.8%) conversion rate.</t>
  </si>
  <si>
    <t>Location Performance</t>
  </si>
  <si>
    <t>Car Wash forums had the highest reach at 63.8% conversion rate.</t>
  </si>
  <si>
    <t>Fan Forums had the highest reach at 14,544 clicks.</t>
  </si>
  <si>
    <t>Email Campaigns and Fan Forums had the least conversion rate at below 38%.</t>
  </si>
  <si>
    <t>Car Wash Forums had the lowest reach at 4,080 clicks.</t>
  </si>
  <si>
    <t>That was a 36.0% increase from the previous month(October).</t>
  </si>
  <si>
    <t>Aug-Dec 2025 | 6 Campaigns| 5 Locations|</t>
  </si>
  <si>
    <t>Marketing Campaign Dashboard - Key Insights</t>
  </si>
  <si>
    <t>Sales grew by almost 2times from Aug to Nov.</t>
  </si>
  <si>
    <t>Sales dropped by 38.3% in Dec.</t>
  </si>
  <si>
    <t>Mt Lab Mania had the best performance in terms of volume by selling 5,729 units.</t>
  </si>
  <si>
    <t>FastvFood Sites had the highest volume of sales at 6,371.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</si>
</sst>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yyyy"/>
    <numFmt numFmtId="165" formatCode="_(* #,##0_);_(* \(#,##0\);_(* &quot;-&quot;??_);_(@_)"/>
    <numFmt numFmtId="166" formatCode="0.0%"/>
    <numFmt numFmtId="167" formatCode="[$-409]mmmm\-yy;@"/>
  </numFmts>
  <fonts count="10" x14ac:knownFonts="1">
    <font>
      <sz val="11"/>
      <color theme="1"/>
      <name val="Garamond"/>
      <family val="2"/>
      <scheme val="minor"/>
    </font>
    <font>
      <sz val="11"/>
      <color theme="1"/>
      <name val="Garamond"/>
      <family val="2"/>
      <scheme val="minor"/>
    </font>
    <font>
      <sz val="11"/>
      <name val="Garamond"/>
      <family val="2"/>
      <scheme val="minor"/>
    </font>
    <font>
      <sz val="22"/>
      <color theme="2"/>
      <name val="Calibri"/>
      <family val="2"/>
    </font>
    <font>
      <b/>
      <sz val="11"/>
      <color theme="0"/>
      <name val="Calibri"/>
      <family val="2"/>
    </font>
    <font>
      <b/>
      <sz val="11"/>
      <name val="Calibri"/>
      <family val="2"/>
    </font>
    <font>
      <sz val="22"/>
      <color theme="0"/>
      <name val="Calibri"/>
      <family val="2"/>
    </font>
    <font>
      <sz val="11"/>
      <color theme="1"/>
      <name val="Calibri"/>
      <family val="2"/>
    </font>
    <font>
      <b/>
      <sz val="11"/>
      <color theme="1"/>
      <name val="Calibri"/>
      <family val="2"/>
    </font>
    <font>
      <sz val="11"/>
      <color theme="0"/>
      <name val="Calibri"/>
      <family val="2"/>
    </font>
  </fonts>
  <fills count="6">
    <fill>
      <patternFill patternType="none"/>
    </fill>
    <fill>
      <patternFill patternType="gray125"/>
    </fill>
    <fill>
      <patternFill patternType="solid">
        <fgColor theme="5" tint="-0.249977111117893"/>
        <bgColor indexed="64"/>
      </patternFill>
    </fill>
    <fill>
      <patternFill patternType="solid">
        <fgColor theme="4" tint="0.79998168889431442"/>
        <bgColor indexed="64"/>
      </patternFill>
    </fill>
    <fill>
      <patternFill patternType="solid">
        <fgColor theme="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166" fontId="0" fillId="0" borderId="0" xfId="1" applyNumberFormat="1" applyFont="1"/>
    <xf numFmtId="167" fontId="0" fillId="0" borderId="0" xfId="0" applyNumberFormat="1"/>
    <xf numFmtId="2" fontId="0" fillId="0" borderId="0" xfId="1" applyNumberFormat="1" applyFont="1"/>
    <xf numFmtId="0" fontId="0" fillId="0" borderId="0" xfId="0" applyAlignment="1">
      <alignment vertical="center"/>
    </xf>
    <xf numFmtId="2" fontId="2" fillId="5" borderId="0" xfId="1" applyNumberFormat="1" applyFont="1" applyFill="1" applyAlignment="1">
      <alignment horizontal="left"/>
    </xf>
    <xf numFmtId="165" fontId="2" fillId="5" borderId="0" xfId="1" applyNumberFormat="1" applyFont="1" applyFill="1"/>
    <xf numFmtId="166" fontId="2" fillId="5" borderId="0" xfId="1" applyNumberFormat="1" applyFont="1" applyFill="1"/>
    <xf numFmtId="0" fontId="3" fillId="2" borderId="0" xfId="0" applyFont="1" applyFill="1" applyAlignment="1">
      <alignment horizontal="center" vertical="center"/>
    </xf>
    <xf numFmtId="2" fontId="4" fillId="4" borderId="0" xfId="1" applyNumberFormat="1" applyFont="1" applyFill="1" applyAlignment="1">
      <alignment vertical="center"/>
    </xf>
    <xf numFmtId="2" fontId="5" fillId="5" borderId="0" xfId="1" applyNumberFormat="1" applyFont="1" applyFill="1" applyAlignment="1">
      <alignment horizontal="left"/>
    </xf>
    <xf numFmtId="165" fontId="5" fillId="5" borderId="0" xfId="1" applyNumberFormat="1" applyFont="1" applyFill="1"/>
    <xf numFmtId="166" fontId="5" fillId="5" borderId="0" xfId="1" applyNumberFormat="1" applyFont="1" applyFill="1"/>
    <xf numFmtId="0" fontId="6" fillId="2" borderId="0" xfId="0" applyFont="1" applyFill="1" applyAlignment="1">
      <alignment horizontal="center" vertical="center"/>
    </xf>
    <xf numFmtId="0" fontId="7" fillId="0" borderId="0" xfId="0" pivotButton="1" applyFont="1"/>
    <xf numFmtId="0" fontId="7" fillId="0" borderId="0" xfId="0" applyFont="1"/>
    <xf numFmtId="0" fontId="8" fillId="3" borderId="0" xfId="0" applyFont="1" applyFill="1"/>
    <xf numFmtId="0" fontId="7" fillId="0" borderId="0" xfId="0" applyFont="1" applyAlignment="1">
      <alignment horizontal="left"/>
    </xf>
    <xf numFmtId="165" fontId="7" fillId="0" borderId="0" xfId="0" applyNumberFormat="1" applyFont="1"/>
    <xf numFmtId="166" fontId="8" fillId="3" borderId="0" xfId="1" applyNumberFormat="1" applyFont="1" applyFill="1"/>
    <xf numFmtId="0" fontId="3" fillId="2" borderId="0" xfId="0" applyFont="1" applyFill="1" applyAlignment="1">
      <alignment horizontal="center"/>
    </xf>
    <xf numFmtId="2" fontId="4" fillId="2" borderId="0" xfId="1" applyNumberFormat="1" applyFont="1" applyFill="1" applyAlignment="1">
      <alignment vertical="center"/>
    </xf>
    <xf numFmtId="0" fontId="9" fillId="2" borderId="0" xfId="0" applyFont="1" applyFill="1"/>
    <xf numFmtId="0" fontId="4" fillId="2" borderId="0" xfId="0" applyFont="1" applyFill="1"/>
    <xf numFmtId="0" fontId="9" fillId="2" borderId="0" xfId="0" applyFont="1" applyFill="1" applyAlignment="1">
      <alignment horizontal="left"/>
    </xf>
    <xf numFmtId="165" fontId="9" fillId="2" borderId="0" xfId="0" applyNumberFormat="1" applyFont="1" applyFill="1"/>
    <xf numFmtId="166" fontId="4" fillId="2" borderId="0" xfId="1" applyNumberFormat="1" applyFont="1" applyFill="1"/>
    <xf numFmtId="2" fontId="4" fillId="2" borderId="0" xfId="1" applyNumberFormat="1" applyFont="1" applyFill="1" applyAlignment="1">
      <alignment horizontal="left"/>
    </xf>
    <xf numFmtId="165" fontId="4" fillId="2" borderId="0" xfId="1" applyNumberFormat="1" applyFont="1" applyFill="1"/>
  </cellXfs>
  <cellStyles count="2">
    <cellStyle name="Normal" xfId="0" builtinId="0"/>
    <cellStyle name="Percent" xfId="1" builtinId="5"/>
  </cellStyles>
  <dxfs count="126">
    <dxf>
      <fill>
        <patternFill>
          <bgColor theme="5" tint="-0.249977111117893"/>
        </patternFill>
      </fill>
    </dxf>
    <dxf>
      <fill>
        <patternFill>
          <bgColor theme="5" tint="-0.249977111117893"/>
        </patternFill>
      </fill>
    </dxf>
    <dxf>
      <font>
        <color theme="0"/>
      </font>
    </dxf>
    <dxf>
      <font>
        <color theme="0"/>
      </font>
    </dxf>
    <dxf>
      <fill>
        <patternFill>
          <bgColor theme="5" tint="-0.249977111117893"/>
        </patternFill>
      </fill>
    </dxf>
    <dxf>
      <fill>
        <patternFill>
          <bgColor theme="5" tint="-0.249977111117893"/>
        </patternFill>
      </fill>
    </dxf>
    <dxf>
      <font>
        <color theme="0"/>
      </font>
    </dxf>
    <dxf>
      <font>
        <color theme="0"/>
      </font>
    </dxf>
    <dxf>
      <font>
        <color theme="0"/>
      </font>
    </dxf>
    <dxf>
      <font>
        <color theme="0"/>
      </font>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numFmt numFmtId="165" formatCode="_(* #,##0_);_(* \(#,##0\);_(* &quot;-&quot;??_);_(@_)"/>
    </dxf>
    <dxf>
      <font>
        <name val="Calibri"/>
        <scheme val="none"/>
      </font>
    </dxf>
    <dxf>
      <font>
        <name val="Calibri"/>
        <scheme val="none"/>
      </font>
    </dxf>
    <dxf>
      <font>
        <name val="Calibri"/>
        <scheme val="none"/>
      </font>
    </dxf>
    <dxf>
      <font>
        <name val="Calibri"/>
        <scheme val="none"/>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ont>
        <color auto="1"/>
      </font>
    </dxf>
    <dxf>
      <font>
        <color auto="1"/>
      </font>
    </dxf>
    <dxf>
      <font>
        <color auto="1"/>
      </font>
    </dxf>
    <dxf>
      <font>
        <color auto="1"/>
      </font>
    </dxf>
    <dxf>
      <font>
        <color auto="1"/>
      </font>
    </dxf>
    <dxf>
      <font>
        <color auto="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fill>
        <patternFill patternType="none">
          <bgColor auto="1"/>
        </patternFill>
      </fill>
    </dxf>
    <dxf>
      <fill>
        <patternFill patternType="none">
          <bgColor auto="1"/>
        </patternFill>
      </fill>
    </dxf>
    <dxf>
      <fill>
        <patternFill patternType="solid">
          <bgColor theme="3"/>
        </patternFill>
      </fill>
    </dxf>
    <dxf>
      <fill>
        <patternFill patternType="solid">
          <bgColor theme="3"/>
        </patternFill>
      </fill>
    </dxf>
    <dxf>
      <font>
        <color theme="0"/>
      </font>
    </dxf>
    <dxf>
      <font>
        <color theme="0"/>
      </font>
    </dxf>
    <dxf>
      <alignment vertical="center"/>
    </dxf>
    <dxf>
      <alignment vertical="center"/>
    </dxf>
    <dxf>
      <alignment horizontal="general"/>
    </dxf>
    <dxf>
      <alignment horizontal="general"/>
    </dxf>
    <dxf>
      <numFmt numFmtId="165" formatCode="_(* #,##0_);_(* \(#,##0\);_(* &quot;-&quot;??_);_(@_)"/>
    </dxf>
    <dxf>
      <font>
        <b/>
      </font>
    </dxf>
    <dxf>
      <font>
        <b/>
      </font>
    </dxf>
    <dxf>
      <fill>
        <patternFill patternType="solid">
          <bgColor theme="0"/>
        </patternFill>
      </fill>
    </dxf>
    <dxf>
      <fill>
        <patternFill patternType="solid">
          <bgColor theme="0"/>
        </patternFill>
      </fill>
    </dxf>
    <dxf>
      <fill>
        <patternFill patternType="solid">
          <bgColor theme="0"/>
        </patternFill>
      </fill>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font>
    </dxf>
    <dxf>
      <font>
        <b/>
      </font>
    </dxf>
    <dxf>
      <fill>
        <patternFill patternType="solid">
          <bgColor theme="0"/>
        </patternFill>
      </fill>
    </dxf>
    <dxf>
      <fill>
        <patternFill patternType="solid">
          <bgColor theme="0"/>
        </patternFill>
      </fill>
    </dxf>
    <dxf>
      <fill>
        <patternFill patternType="solid">
          <bgColor theme="0"/>
        </patternFill>
      </fill>
    </dxf>
    <dxf>
      <font>
        <b/>
      </font>
    </dxf>
    <dxf>
      <font>
        <b/>
      </font>
    </dxf>
    <dxf>
      <numFmt numFmtId="165" formatCode="_(* #,##0_);_(* \(#,##0\);_(* &quot;-&quot;??_);_(@_)"/>
    </dxf>
    <dxf>
      <alignment horizontal="general"/>
    </dxf>
    <dxf>
      <alignment horizontal="general"/>
    </dxf>
    <dxf>
      <alignment vertical="center"/>
    </dxf>
    <dxf>
      <alignment vertical="center"/>
    </dxf>
    <dxf>
      <font>
        <color theme="0"/>
      </font>
    </dxf>
    <dxf>
      <font>
        <color theme="0"/>
      </font>
    </dxf>
    <dxf>
      <fill>
        <patternFill patternType="solid">
          <bgColor theme="3"/>
        </patternFill>
      </fill>
    </dxf>
    <dxf>
      <fill>
        <patternFill patternType="solid">
          <bgColor theme="3"/>
        </patternFill>
      </fill>
    </dxf>
    <dxf>
      <fill>
        <patternFill patternType="none">
          <bgColor auto="1"/>
        </patternFill>
      </fill>
    </dxf>
    <dxf>
      <fill>
        <patternFill patternType="none">
          <bgColor auto="1"/>
        </patternFill>
      </fill>
    </dxf>
    <dxf>
      <numFmt numFmtId="2" formatCode="0.00"/>
    </dxf>
    <dxf>
      <numFmt numFmtId="2" formatCode="0.00"/>
    </dxf>
    <dxf>
      <numFmt numFmtId="2" formatCode="0.00"/>
    </dxf>
    <dxf>
      <numFmt numFmtId="2" formatCode="0.00"/>
    </dxf>
    <dxf>
      <numFmt numFmtId="2" formatCode="0.00"/>
    </dxf>
    <dxf>
      <numFmt numFmtId="2" formatCode="0.0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auto="1"/>
      </font>
    </dxf>
    <dxf>
      <font>
        <color auto="1"/>
      </font>
    </dxf>
    <dxf>
      <font>
        <color auto="1"/>
      </font>
    </dxf>
    <dxf>
      <font>
        <color auto="1"/>
      </font>
    </dxf>
    <dxf>
      <font>
        <color auto="1"/>
      </font>
    </dxf>
    <dxf>
      <font>
        <color auto="1"/>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numFmt numFmtId="165" formatCode="_(* #,##0_);_(* \(#,##0\);_(* &quot;-&quot;??_);_(@_)"/>
    </dxf>
    <dxf>
      <font>
        <b val="0"/>
        <i val="0"/>
        <strike val="0"/>
        <condense val="0"/>
        <extend val="0"/>
        <outline val="0"/>
        <shadow val="0"/>
        <u val="none"/>
        <vertAlign val="baseline"/>
        <sz val="11"/>
        <color theme="1"/>
        <name val="Garamond"/>
        <family val="2"/>
        <scheme val="minor"/>
      </font>
      <numFmt numFmtId="166" formatCode="0.0%"/>
    </dxf>
    <dxf>
      <font>
        <b val="0"/>
        <i val="0"/>
        <strike val="0"/>
        <condense val="0"/>
        <extend val="0"/>
        <outline val="0"/>
        <shadow val="0"/>
        <u val="none"/>
        <vertAlign val="baseline"/>
        <sz val="11"/>
        <color theme="1"/>
        <name val="Garamond"/>
        <family val="2"/>
        <scheme val="minor"/>
      </font>
    </dxf>
    <dxf>
      <font>
        <b val="0"/>
        <i val="0"/>
        <strike val="0"/>
        <condense val="0"/>
        <extend val="0"/>
        <outline val="0"/>
        <shadow val="0"/>
        <u val="none"/>
        <vertAlign val="baseline"/>
        <sz val="11"/>
        <color theme="1"/>
        <name val="Garamond"/>
        <family val="2"/>
        <scheme val="minor"/>
      </font>
      <numFmt numFmtId="166" formatCode="0.0%"/>
    </dxf>
    <dxf>
      <font>
        <b val="0"/>
        <i val="0"/>
        <strike val="0"/>
        <condense val="0"/>
        <extend val="0"/>
        <outline val="0"/>
        <shadow val="0"/>
        <u val="none"/>
        <vertAlign val="baseline"/>
        <sz val="11"/>
        <color theme="1"/>
        <name val="Garamond"/>
        <family val="2"/>
        <scheme val="minor"/>
      </font>
    </dxf>
    <dxf>
      <numFmt numFmtId="165" formatCode="_(* #,##0_);_(* \(#,##0\);_(* &quot;-&quot;??_);_(@_)"/>
    </dxf>
    <dxf>
      <numFmt numFmtId="165" formatCode="_(* #,##0_);_(* \(#,##0\);_(* &quot;-&quot;??_);_(@_)"/>
    </dxf>
    <dxf>
      <numFmt numFmtId="1" formatCode="0"/>
    </dxf>
    <dxf>
      <numFmt numFmtId="0" formatCode="General"/>
    </dxf>
    <dxf>
      <numFmt numFmtId="0" formatCode="General"/>
    </dxf>
    <dxf>
      <numFmt numFmtId="167" formatCode="[$-409]m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&amp; Tables'!$B$143</c:f>
              <c:strCache>
                <c:ptCount val="1"/>
                <c:pt idx="0">
                  <c:v>Total</c:v>
                </c:pt>
              </c:strCache>
            </c:strRef>
          </c:tx>
          <c:spPr>
            <a:solidFill>
              <a:schemeClr val="accent1"/>
            </a:solidFill>
            <a:ln>
              <a:noFill/>
            </a:ln>
            <a:effectLst/>
          </c:spPr>
          <c:invertIfNegative val="0"/>
          <c:cat>
            <c:strRef>
              <c:f>'Charts &amp; Tables'!$A$144:$A$150</c:f>
              <c:strCache>
                <c:ptCount val="6"/>
                <c:pt idx="0">
                  <c:v>Blue Sky Special</c:v>
                </c:pt>
                <c:pt idx="1">
                  <c:v>Crystal Clear Discount</c:v>
                </c:pt>
                <c:pt idx="2">
                  <c:v>Heisenberg'S Deals</c:v>
                </c:pt>
                <c:pt idx="3">
                  <c:v>Mt Lab Mania</c:v>
                </c:pt>
                <c:pt idx="4">
                  <c:v>The Pinkman Promotion</c:v>
                </c:pt>
                <c:pt idx="5">
                  <c:v>Walter Promo</c:v>
                </c:pt>
              </c:strCache>
            </c:strRef>
          </c:cat>
          <c:val>
            <c:numRef>
              <c:f>'Charts &amp; Tables'!$B$144:$B$150</c:f>
              <c:numCache>
                <c:formatCode>General</c:formatCode>
                <c:ptCount val="6"/>
                <c:pt idx="0">
                  <c:v>4073</c:v>
                </c:pt>
                <c:pt idx="1">
                  <c:v>4626</c:v>
                </c:pt>
                <c:pt idx="2">
                  <c:v>3559</c:v>
                </c:pt>
                <c:pt idx="3">
                  <c:v>5729</c:v>
                </c:pt>
                <c:pt idx="4">
                  <c:v>2704</c:v>
                </c:pt>
                <c:pt idx="5">
                  <c:v>833</c:v>
                </c:pt>
              </c:numCache>
            </c:numRef>
          </c:val>
          <c:extLst>
            <c:ext xmlns:c16="http://schemas.microsoft.com/office/drawing/2014/chart" uri="{C3380CC4-5D6E-409C-BE32-E72D297353CC}">
              <c16:uniqueId val="{00000003-2B5B-43CA-9307-953B9338B8A7}"/>
            </c:ext>
          </c:extLst>
        </c:ser>
        <c:dLbls>
          <c:showLegendKey val="0"/>
          <c:showVal val="0"/>
          <c:showCatName val="0"/>
          <c:showSerName val="0"/>
          <c:showPercent val="0"/>
          <c:showBubbleSize val="0"/>
        </c:dLbls>
        <c:gapWidth val="219"/>
        <c:overlap val="-27"/>
        <c:axId val="982293391"/>
        <c:axId val="982273711"/>
      </c:barChart>
      <c:catAx>
        <c:axId val="9822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73711"/>
        <c:crosses val="autoZero"/>
        <c:auto val="1"/>
        <c:lblAlgn val="ctr"/>
        <c:lblOffset val="100"/>
        <c:noMultiLvlLbl val="0"/>
      </c:catAx>
      <c:valAx>
        <c:axId val="98227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933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Impressions</a:t>
            </a:r>
            <a:r>
              <a:rPr lang="en-US" baseline="0"/>
              <a:t> by Campaign</a:t>
            </a:r>
            <a:endParaRPr lang="en-US"/>
          </a:p>
        </c:rich>
      </c:tx>
      <c:layout>
        <c:manualLayout>
          <c:xMode val="edge"/>
          <c:yMode val="edge"/>
          <c:x val="0.29542798264918019"/>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&amp; Tables'!$B$187</c:f>
              <c:strCache>
                <c:ptCount val="1"/>
                <c:pt idx="0">
                  <c:v>Total</c:v>
                </c:pt>
              </c:strCache>
            </c:strRef>
          </c:tx>
          <c:spPr>
            <a:solidFill>
              <a:schemeClr val="accent1"/>
            </a:solidFill>
            <a:ln>
              <a:noFill/>
            </a:ln>
            <a:effectLst/>
          </c:spPr>
          <c:invertIfNegative val="0"/>
          <c:cat>
            <c:strRef>
              <c:f>'Charts &amp; Tables'!$A$188:$A$194</c:f>
              <c:strCache>
                <c:ptCount val="6"/>
                <c:pt idx="0">
                  <c:v>Blue Sky Special</c:v>
                </c:pt>
                <c:pt idx="1">
                  <c:v>Crystal Clear Discount</c:v>
                </c:pt>
                <c:pt idx="2">
                  <c:v>Heisenberg'S Deals</c:v>
                </c:pt>
                <c:pt idx="3">
                  <c:v>Mt Lab Mania</c:v>
                </c:pt>
                <c:pt idx="4">
                  <c:v>The Pinkman Promotion</c:v>
                </c:pt>
                <c:pt idx="5">
                  <c:v>Walter Promo</c:v>
                </c:pt>
              </c:strCache>
            </c:strRef>
          </c:cat>
          <c:val>
            <c:numRef>
              <c:f>'Charts &amp; Tables'!$B$188:$B$194</c:f>
              <c:numCache>
                <c:formatCode>General</c:formatCode>
                <c:ptCount val="6"/>
                <c:pt idx="0">
                  <c:v>145515</c:v>
                </c:pt>
                <c:pt idx="1">
                  <c:v>155876</c:v>
                </c:pt>
                <c:pt idx="2">
                  <c:v>114745</c:v>
                </c:pt>
                <c:pt idx="3">
                  <c:v>147739</c:v>
                </c:pt>
                <c:pt idx="4">
                  <c:v>111316</c:v>
                </c:pt>
                <c:pt idx="5">
                  <c:v>14490</c:v>
                </c:pt>
              </c:numCache>
            </c:numRef>
          </c:val>
          <c:extLst>
            <c:ext xmlns:c16="http://schemas.microsoft.com/office/drawing/2014/chart" uri="{C3380CC4-5D6E-409C-BE32-E72D297353CC}">
              <c16:uniqueId val="{00000000-F216-42C2-ADE9-5CCFBC78401F}"/>
            </c:ext>
          </c:extLst>
        </c:ser>
        <c:dLbls>
          <c:showLegendKey val="0"/>
          <c:showVal val="0"/>
          <c:showCatName val="0"/>
          <c:showSerName val="0"/>
          <c:showPercent val="0"/>
          <c:showBubbleSize val="0"/>
        </c:dLbls>
        <c:gapWidth val="219"/>
        <c:overlap val="-27"/>
        <c:axId val="1566134511"/>
        <c:axId val="1566144591"/>
      </c:barChart>
      <c:catAx>
        <c:axId val="1566134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44591"/>
        <c:crosses val="autoZero"/>
        <c:auto val="1"/>
        <c:lblAlgn val="ctr"/>
        <c:lblOffset val="100"/>
        <c:noMultiLvlLbl val="0"/>
      </c:catAx>
      <c:valAx>
        <c:axId val="156614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3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Per Month</a:t>
            </a:r>
            <a:endParaRPr lang="en-US"/>
          </a:p>
        </c:rich>
      </c:tx>
      <c:layout>
        <c:manualLayout>
          <c:xMode val="edge"/>
          <c:yMode val="edge"/>
          <c:x val="0.38688691232528588"/>
          <c:y val="5.092592592592592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&amp; Tables'!$B$3</c:f>
              <c:strCache>
                <c:ptCount val="1"/>
                <c:pt idx="0">
                  <c:v>Total</c:v>
                </c:pt>
              </c:strCache>
            </c:strRef>
          </c:tx>
          <c:spPr>
            <a:solidFill>
              <a:schemeClr val="accent1"/>
            </a:solidFill>
            <a:ln>
              <a:noFill/>
            </a:ln>
            <a:effectLst/>
          </c:spPr>
          <c:invertIfNegative val="0"/>
          <c:cat>
            <c:strRef>
              <c:f>'Charts &amp; Tables'!$A$4:$A$9</c:f>
              <c:strCache>
                <c:ptCount val="5"/>
                <c:pt idx="0">
                  <c:v>Aug</c:v>
                </c:pt>
                <c:pt idx="1">
                  <c:v>Sep</c:v>
                </c:pt>
                <c:pt idx="2">
                  <c:v>Oct</c:v>
                </c:pt>
                <c:pt idx="3">
                  <c:v>Nov</c:v>
                </c:pt>
                <c:pt idx="4">
                  <c:v>Dec</c:v>
                </c:pt>
              </c:strCache>
            </c:strRef>
          </c:cat>
          <c:val>
            <c:numRef>
              <c:f>'Charts &amp; Tables'!$B$4:$B$9</c:f>
              <c:numCache>
                <c:formatCode>General</c:formatCode>
                <c:ptCount val="5"/>
                <c:pt idx="0">
                  <c:v>3226</c:v>
                </c:pt>
                <c:pt idx="1">
                  <c:v>3363</c:v>
                </c:pt>
                <c:pt idx="2">
                  <c:v>4668</c:v>
                </c:pt>
                <c:pt idx="3">
                  <c:v>6348</c:v>
                </c:pt>
                <c:pt idx="4">
                  <c:v>3919</c:v>
                </c:pt>
              </c:numCache>
            </c:numRef>
          </c:val>
          <c:extLst>
            <c:ext xmlns:c16="http://schemas.microsoft.com/office/drawing/2014/chart" uri="{C3380CC4-5D6E-409C-BE32-E72D297353CC}">
              <c16:uniqueId val="{00000000-5B14-4E7C-802C-76C6BEDE2837}"/>
            </c:ext>
          </c:extLst>
        </c:ser>
        <c:dLbls>
          <c:showLegendKey val="0"/>
          <c:showVal val="0"/>
          <c:showCatName val="0"/>
          <c:showSerName val="0"/>
          <c:showPercent val="0"/>
          <c:showBubbleSize val="0"/>
        </c:dLbls>
        <c:gapWidth val="182"/>
        <c:axId val="1538250688"/>
        <c:axId val="1538234368"/>
      </c:barChart>
      <c:catAx>
        <c:axId val="153825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34368"/>
        <c:crosses val="autoZero"/>
        <c:auto val="1"/>
        <c:lblAlgn val="ctr"/>
        <c:lblOffset val="100"/>
        <c:noMultiLvlLbl val="0"/>
      </c:catAx>
      <c:valAx>
        <c:axId val="153823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50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Impressions</a:t>
            </a:r>
            <a:r>
              <a:rPr lang="en-US" baseline="0"/>
              <a:t> by Campaign</a:t>
            </a:r>
            <a:endParaRPr lang="en-US"/>
          </a:p>
        </c:rich>
      </c:tx>
      <c:layout>
        <c:manualLayout>
          <c:xMode val="edge"/>
          <c:yMode val="edge"/>
          <c:x val="0.35279276044192731"/>
          <c:y val="1.04698230454903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62577185398011E-2"/>
          <c:y val="7.7493969228638368E-2"/>
          <c:w val="0.86907693396709496"/>
          <c:h val="0.7892808039434478"/>
        </c:manualLayout>
      </c:layout>
      <c:barChart>
        <c:barDir val="col"/>
        <c:grouping val="clustered"/>
        <c:varyColors val="0"/>
        <c:ser>
          <c:idx val="0"/>
          <c:order val="0"/>
          <c:tx>
            <c:strRef>
              <c:f>'Charts &amp; Tables'!$B$187</c:f>
              <c:strCache>
                <c:ptCount val="1"/>
                <c:pt idx="0">
                  <c:v>Total</c:v>
                </c:pt>
              </c:strCache>
            </c:strRef>
          </c:tx>
          <c:spPr>
            <a:solidFill>
              <a:schemeClr val="accent1"/>
            </a:solidFill>
            <a:ln>
              <a:noFill/>
            </a:ln>
            <a:effectLst/>
          </c:spPr>
          <c:invertIfNegative val="0"/>
          <c:cat>
            <c:strRef>
              <c:f>'Charts &amp; Tables'!$A$188:$A$194</c:f>
              <c:strCache>
                <c:ptCount val="6"/>
                <c:pt idx="0">
                  <c:v>Blue Sky Special</c:v>
                </c:pt>
                <c:pt idx="1">
                  <c:v>Crystal Clear Discount</c:v>
                </c:pt>
                <c:pt idx="2">
                  <c:v>Heisenberg'S Deals</c:v>
                </c:pt>
                <c:pt idx="3">
                  <c:v>Mt Lab Mania</c:v>
                </c:pt>
                <c:pt idx="4">
                  <c:v>The Pinkman Promotion</c:v>
                </c:pt>
                <c:pt idx="5">
                  <c:v>Walter Promo</c:v>
                </c:pt>
              </c:strCache>
            </c:strRef>
          </c:cat>
          <c:val>
            <c:numRef>
              <c:f>'Charts &amp; Tables'!$B$188:$B$194</c:f>
              <c:numCache>
                <c:formatCode>General</c:formatCode>
                <c:ptCount val="6"/>
                <c:pt idx="0">
                  <c:v>145515</c:v>
                </c:pt>
                <c:pt idx="1">
                  <c:v>155876</c:v>
                </c:pt>
                <c:pt idx="2">
                  <c:v>114745</c:v>
                </c:pt>
                <c:pt idx="3">
                  <c:v>147739</c:v>
                </c:pt>
                <c:pt idx="4">
                  <c:v>111316</c:v>
                </c:pt>
                <c:pt idx="5">
                  <c:v>14490</c:v>
                </c:pt>
              </c:numCache>
            </c:numRef>
          </c:val>
          <c:extLst>
            <c:ext xmlns:c16="http://schemas.microsoft.com/office/drawing/2014/chart" uri="{C3380CC4-5D6E-409C-BE32-E72D297353CC}">
              <c16:uniqueId val="{00000000-BDEC-4132-89EB-9E656D720786}"/>
            </c:ext>
          </c:extLst>
        </c:ser>
        <c:dLbls>
          <c:showLegendKey val="0"/>
          <c:showVal val="0"/>
          <c:showCatName val="0"/>
          <c:showSerName val="0"/>
          <c:showPercent val="0"/>
          <c:showBubbleSize val="0"/>
        </c:dLbls>
        <c:gapWidth val="219"/>
        <c:overlap val="-27"/>
        <c:axId val="1566134511"/>
        <c:axId val="1566144591"/>
      </c:barChart>
      <c:catAx>
        <c:axId val="1566134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44591"/>
        <c:crosses val="autoZero"/>
        <c:auto val="1"/>
        <c:lblAlgn val="ctr"/>
        <c:lblOffset val="100"/>
        <c:noMultiLvlLbl val="0"/>
      </c:catAx>
      <c:valAx>
        <c:axId val="156614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3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&amp; Tables'!$B$143</c:f>
              <c:strCache>
                <c:ptCount val="1"/>
                <c:pt idx="0">
                  <c:v>Total</c:v>
                </c:pt>
              </c:strCache>
            </c:strRef>
          </c:tx>
          <c:spPr>
            <a:solidFill>
              <a:schemeClr val="accent1"/>
            </a:solidFill>
            <a:ln>
              <a:noFill/>
            </a:ln>
            <a:effectLst/>
          </c:spPr>
          <c:invertIfNegative val="0"/>
          <c:cat>
            <c:strRef>
              <c:f>'Charts &amp; Tables'!$A$144:$A$150</c:f>
              <c:strCache>
                <c:ptCount val="6"/>
                <c:pt idx="0">
                  <c:v>Blue Sky Special</c:v>
                </c:pt>
                <c:pt idx="1">
                  <c:v>Crystal Clear Discount</c:v>
                </c:pt>
                <c:pt idx="2">
                  <c:v>Heisenberg'S Deals</c:v>
                </c:pt>
                <c:pt idx="3">
                  <c:v>Mt Lab Mania</c:v>
                </c:pt>
                <c:pt idx="4">
                  <c:v>The Pinkman Promotion</c:v>
                </c:pt>
                <c:pt idx="5">
                  <c:v>Walter Promo</c:v>
                </c:pt>
              </c:strCache>
            </c:strRef>
          </c:cat>
          <c:val>
            <c:numRef>
              <c:f>'Charts &amp; Tables'!$B$144:$B$150</c:f>
              <c:numCache>
                <c:formatCode>General</c:formatCode>
                <c:ptCount val="6"/>
                <c:pt idx="0">
                  <c:v>4073</c:v>
                </c:pt>
                <c:pt idx="1">
                  <c:v>4626</c:v>
                </c:pt>
                <c:pt idx="2">
                  <c:v>3559</c:v>
                </c:pt>
                <c:pt idx="3">
                  <c:v>5729</c:v>
                </c:pt>
                <c:pt idx="4">
                  <c:v>2704</c:v>
                </c:pt>
                <c:pt idx="5">
                  <c:v>833</c:v>
                </c:pt>
              </c:numCache>
            </c:numRef>
          </c:val>
          <c:extLst>
            <c:ext xmlns:c16="http://schemas.microsoft.com/office/drawing/2014/chart" uri="{C3380CC4-5D6E-409C-BE32-E72D297353CC}">
              <c16:uniqueId val="{00000000-EAEA-48ED-9A2A-B04A8FE93922}"/>
            </c:ext>
          </c:extLst>
        </c:ser>
        <c:dLbls>
          <c:showLegendKey val="0"/>
          <c:showVal val="0"/>
          <c:showCatName val="0"/>
          <c:showSerName val="0"/>
          <c:showPercent val="0"/>
          <c:showBubbleSize val="0"/>
        </c:dLbls>
        <c:gapWidth val="219"/>
        <c:overlap val="-27"/>
        <c:axId val="982293391"/>
        <c:axId val="982273711"/>
      </c:barChart>
      <c:catAx>
        <c:axId val="9822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73711"/>
        <c:crosses val="autoZero"/>
        <c:auto val="1"/>
        <c:lblAlgn val="ctr"/>
        <c:lblOffset val="100"/>
        <c:noMultiLvlLbl val="0"/>
      </c:catAx>
      <c:valAx>
        <c:axId val="98227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933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Tables!PivotTable3</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Per Month</a:t>
            </a:r>
            <a:endParaRPr lang="en-US"/>
          </a:p>
        </c:rich>
      </c:tx>
      <c:layout>
        <c:manualLayout>
          <c:xMode val="edge"/>
          <c:yMode val="edge"/>
          <c:x val="0.38688691232528588"/>
          <c:y val="5.092592592592592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84381770509308E-2"/>
          <c:y val="0.20477510588082701"/>
          <c:w val="0.87737081035101139"/>
          <c:h val="0.5941393606809845"/>
        </c:manualLayout>
      </c:layout>
      <c:barChart>
        <c:barDir val="bar"/>
        <c:grouping val="clustered"/>
        <c:varyColors val="0"/>
        <c:ser>
          <c:idx val="0"/>
          <c:order val="0"/>
          <c:tx>
            <c:strRef>
              <c:f>'Charts &amp; Tables'!$B$3</c:f>
              <c:strCache>
                <c:ptCount val="1"/>
                <c:pt idx="0">
                  <c:v>Total</c:v>
                </c:pt>
              </c:strCache>
            </c:strRef>
          </c:tx>
          <c:spPr>
            <a:solidFill>
              <a:schemeClr val="accent1"/>
            </a:solidFill>
            <a:ln>
              <a:noFill/>
            </a:ln>
            <a:effectLst/>
          </c:spPr>
          <c:invertIfNegative val="0"/>
          <c:cat>
            <c:strRef>
              <c:f>'Charts &amp; Tables'!$A$4:$A$9</c:f>
              <c:strCache>
                <c:ptCount val="5"/>
                <c:pt idx="0">
                  <c:v>Aug</c:v>
                </c:pt>
                <c:pt idx="1">
                  <c:v>Sep</c:v>
                </c:pt>
                <c:pt idx="2">
                  <c:v>Oct</c:v>
                </c:pt>
                <c:pt idx="3">
                  <c:v>Nov</c:v>
                </c:pt>
                <c:pt idx="4">
                  <c:v>Dec</c:v>
                </c:pt>
              </c:strCache>
            </c:strRef>
          </c:cat>
          <c:val>
            <c:numRef>
              <c:f>'Charts &amp; Tables'!$B$4:$B$9</c:f>
              <c:numCache>
                <c:formatCode>General</c:formatCode>
                <c:ptCount val="5"/>
                <c:pt idx="0">
                  <c:v>3226</c:v>
                </c:pt>
                <c:pt idx="1">
                  <c:v>3363</c:v>
                </c:pt>
                <c:pt idx="2">
                  <c:v>4668</c:v>
                </c:pt>
                <c:pt idx="3">
                  <c:v>6348</c:v>
                </c:pt>
                <c:pt idx="4">
                  <c:v>3919</c:v>
                </c:pt>
              </c:numCache>
            </c:numRef>
          </c:val>
          <c:extLst>
            <c:ext xmlns:c16="http://schemas.microsoft.com/office/drawing/2014/chart" uri="{C3380CC4-5D6E-409C-BE32-E72D297353CC}">
              <c16:uniqueId val="{00000000-8DC6-4514-860B-F066E36BC921}"/>
            </c:ext>
          </c:extLst>
        </c:ser>
        <c:dLbls>
          <c:showLegendKey val="0"/>
          <c:showVal val="0"/>
          <c:showCatName val="0"/>
          <c:showSerName val="0"/>
          <c:showPercent val="0"/>
          <c:showBubbleSize val="0"/>
        </c:dLbls>
        <c:gapWidth val="182"/>
        <c:axId val="1538250688"/>
        <c:axId val="1538234368"/>
      </c:barChart>
      <c:catAx>
        <c:axId val="153825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34368"/>
        <c:crosses val="autoZero"/>
        <c:auto val="1"/>
        <c:lblAlgn val="ctr"/>
        <c:lblOffset val="100"/>
        <c:noMultiLvlLbl val="0"/>
      </c:catAx>
      <c:valAx>
        <c:axId val="153823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50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Conversion Rate by Location</a:t>
            </a:r>
          </a:p>
        </c:rich>
      </c:tx>
      <c:layout>
        <c:manualLayout>
          <c:xMode val="edge"/>
          <c:yMode val="edge"/>
          <c:x val="0.33841311728395063"/>
          <c:y val="2.9850453926686189E-2"/>
        </c:manualLayout>
      </c:layout>
      <c:overlay val="1"/>
    </c:title>
    <c:autoTitleDeleted val="0"/>
    <c:plotArea>
      <c:layout>
        <c:manualLayout>
          <c:layoutTarget val="inner"/>
          <c:xMode val="edge"/>
          <c:yMode val="edge"/>
          <c:x val="0.13284228395061728"/>
          <c:y val="1.354454553467373E-2"/>
          <c:w val="0.83579969135802468"/>
          <c:h val="0.89052796521364419"/>
        </c:manualLayout>
      </c:layout>
      <c:barChart>
        <c:barDir val="col"/>
        <c:grouping val="clustered"/>
        <c:varyColors val="1"/>
        <c:ser>
          <c:idx val="0"/>
          <c:order val="0"/>
          <c:tx>
            <c:strRef>
              <c:f>'[1]Channel Charts'!$F$4</c:f>
              <c:strCache>
                <c:ptCount val="1"/>
                <c:pt idx="0">
                  <c:v>Conv. Rate</c:v>
                </c:pt>
              </c:strCache>
            </c:strRef>
          </c:tx>
          <c:spPr>
            <a:solidFill>
              <a:srgbClr val="7F77DD"/>
            </a:solidFill>
            <a:ln>
              <a:solidFill>
                <a:srgbClr val="7F77DD"/>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'[1]Channel Charts'!$B$5:$B$9</c:f>
              <c:strCache>
                <c:ptCount val="5"/>
                <c:pt idx="0">
                  <c:v>Car Wash Forums</c:v>
                </c:pt>
                <c:pt idx="1">
                  <c:v>Streaming Service</c:v>
                </c:pt>
                <c:pt idx="2">
                  <c:v>Fast Food Sites</c:v>
                </c:pt>
                <c:pt idx="3">
                  <c:v>Email Campaigns</c:v>
                </c:pt>
                <c:pt idx="4">
                  <c:v>Fan Forums</c:v>
                </c:pt>
              </c:strCache>
            </c:strRef>
          </c:cat>
          <c:val>
            <c:numRef>
              <c:f>'[1]Channel Charts'!$F$5:$F$9</c:f>
              <c:numCache>
                <c:formatCode>General</c:formatCode>
                <c:ptCount val="5"/>
                <c:pt idx="0">
                  <c:v>0.63749999999999996</c:v>
                </c:pt>
                <c:pt idx="1">
                  <c:v>0.50819999999999999</c:v>
                </c:pt>
                <c:pt idx="2">
                  <c:v>0.48599999999999999</c:v>
                </c:pt>
                <c:pt idx="3">
                  <c:v>0.37269999999999998</c:v>
                </c:pt>
                <c:pt idx="4">
                  <c:v>0.34839999999999999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7DD"/>
                    </a:solidFill>
                    <a:prstDash val="solid"/>
                  </a:ln>
                </c14:spPr>
              </c14:invertSolidFillFmt>
            </c:ext>
            <c:ext xmlns:c16="http://schemas.microsoft.com/office/drawing/2014/chart" uri="{C3380CC4-5D6E-409C-BE32-E72D297353CC}">
              <c16:uniqueId val="{00000000-4E31-48CD-926A-0C27D2D58015}"/>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Conversion Rate</a:t>
                </a:r>
              </a:p>
            </c:rich>
          </c:tx>
          <c:overlay val="1"/>
        </c:title>
        <c:numFmt formatCode="General" sourceLinked="1"/>
        <c:majorTickMark val="out"/>
        <c:minorTickMark val="none"/>
        <c:tickLblPos val="nextTo"/>
        <c:crossAx val="10"/>
        <c:crosses val="autoZero"/>
        <c:crossBetween val="between"/>
      </c:valAx>
      <c:dTable>
        <c:showHorzBorder val="1"/>
        <c:showVertBorder val="1"/>
        <c:showOutline val="1"/>
        <c:showKeys val="1"/>
      </c:dTable>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Clicks</a:t>
            </a:r>
            <a:r>
              <a:rPr lang="en-US" baseline="0"/>
              <a:t> by Location</a:t>
            </a:r>
            <a:endParaRPr lang="en-US"/>
          </a:p>
        </c:rich>
      </c:tx>
      <c:layout>
        <c:manualLayout>
          <c:xMode val="edge"/>
          <c:yMode val="edge"/>
          <c:x val="0.40061959876543207"/>
          <c:y val="5.155982905982906E-2"/>
        </c:manualLayout>
      </c:layout>
      <c:overlay val="0"/>
    </c:title>
    <c:autoTitleDeleted val="0"/>
    <c:plotArea>
      <c:layout>
        <c:manualLayout>
          <c:layoutTarget val="inner"/>
          <c:xMode val="edge"/>
          <c:yMode val="edge"/>
          <c:x val="9.1684876543209892E-2"/>
          <c:y val="4.3418803418803421E-2"/>
          <c:w val="0.87695709876543215"/>
          <c:h val="0.88057606837606839"/>
        </c:manualLayout>
      </c:layout>
      <c:barChart>
        <c:barDir val="col"/>
        <c:grouping val="clustered"/>
        <c:varyColors val="1"/>
        <c:ser>
          <c:idx val="0"/>
          <c:order val="0"/>
          <c:tx>
            <c:strRef>
              <c:f>'[1]Channel Charts'!$D$4</c:f>
              <c:strCache>
                <c:ptCount val="1"/>
                <c:pt idx="0">
                  <c:v>Clicks</c:v>
                </c:pt>
              </c:strCache>
            </c:strRef>
          </c:tx>
          <c:spPr>
            <a:solidFill>
              <a:srgbClr val="D85A30"/>
            </a:solidFill>
            <a:ln>
              <a:solidFill>
                <a:srgbClr val="D85A30"/>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'[1]Channel Charts'!$B$5:$B$9</c:f>
              <c:strCache>
                <c:ptCount val="5"/>
                <c:pt idx="0">
                  <c:v>Car Wash Forums</c:v>
                </c:pt>
                <c:pt idx="1">
                  <c:v>Streaming Service</c:v>
                </c:pt>
                <c:pt idx="2">
                  <c:v>Fast Food Sites</c:v>
                </c:pt>
                <c:pt idx="3">
                  <c:v>Email Campaigns</c:v>
                </c:pt>
                <c:pt idx="4">
                  <c:v>Fan Forums</c:v>
                </c:pt>
              </c:strCache>
            </c:strRef>
          </c:cat>
          <c:val>
            <c:numRef>
              <c:f>'[1]Channel Charts'!$D$5:$D$9</c:f>
              <c:numCache>
                <c:formatCode>General</c:formatCode>
                <c:ptCount val="5"/>
                <c:pt idx="0">
                  <c:v>4080</c:v>
                </c:pt>
                <c:pt idx="1">
                  <c:v>6938</c:v>
                </c:pt>
                <c:pt idx="2">
                  <c:v>13112</c:v>
                </c:pt>
                <c:pt idx="3">
                  <c:v>10620</c:v>
                </c:pt>
                <c:pt idx="4">
                  <c:v>14544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D85A30"/>
                    </a:solidFill>
                    <a:prstDash val="solid"/>
                  </a:ln>
                </c14:spPr>
              </c14:invertSolidFillFmt>
            </c:ext>
            <c:ext xmlns:c16="http://schemas.microsoft.com/office/drawing/2014/chart" uri="{C3380CC4-5D6E-409C-BE32-E72D297353CC}">
              <c16:uniqueId val="{00000000-48E4-42D1-BEFA-921B0DFCAA9D}"/>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dTable>
        <c:showHorzBorder val="1"/>
        <c:showVertBorder val="1"/>
        <c:showOutline val="1"/>
        <c:showKeys val="1"/>
      </c:dTable>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Conversion Rate by Location</a:t>
            </a:r>
          </a:p>
        </c:rich>
      </c:tx>
      <c:layout>
        <c:manualLayout>
          <c:xMode val="edge"/>
          <c:yMode val="edge"/>
          <c:x val="0.33841311728395063"/>
          <c:y val="2.9850453926686189E-2"/>
        </c:manualLayout>
      </c:layout>
      <c:overlay val="1"/>
    </c:title>
    <c:autoTitleDeleted val="0"/>
    <c:plotArea>
      <c:layout/>
      <c:barChart>
        <c:barDir val="col"/>
        <c:grouping val="clustered"/>
        <c:varyColors val="1"/>
        <c:ser>
          <c:idx val="0"/>
          <c:order val="0"/>
          <c:tx>
            <c:strRef>
              <c:f>'[1]Channel Charts'!$F$4</c:f>
              <c:strCache>
                <c:ptCount val="1"/>
                <c:pt idx="0">
                  <c:v>Conv. Rate</c:v>
                </c:pt>
              </c:strCache>
            </c:strRef>
          </c:tx>
          <c:spPr>
            <a:solidFill>
              <a:srgbClr val="7F77DD"/>
            </a:solidFill>
            <a:ln>
              <a:solidFill>
                <a:srgbClr val="7F77DD"/>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'[1]Channel Charts'!$B$5:$B$9</c:f>
              <c:strCache>
                <c:ptCount val="5"/>
                <c:pt idx="0">
                  <c:v>Car Wash Forums</c:v>
                </c:pt>
                <c:pt idx="1">
                  <c:v>Streaming Service</c:v>
                </c:pt>
                <c:pt idx="2">
                  <c:v>Fast Food Sites</c:v>
                </c:pt>
                <c:pt idx="3">
                  <c:v>Email Campaigns</c:v>
                </c:pt>
                <c:pt idx="4">
                  <c:v>Fan Forums</c:v>
                </c:pt>
              </c:strCache>
            </c:strRef>
          </c:cat>
          <c:val>
            <c:numRef>
              <c:f>'[1]Channel Charts'!$F$5:$F$9</c:f>
              <c:numCache>
                <c:formatCode>General</c:formatCode>
                <c:ptCount val="5"/>
                <c:pt idx="0">
                  <c:v>0.63749999999999996</c:v>
                </c:pt>
                <c:pt idx="1">
                  <c:v>0.50819999999999999</c:v>
                </c:pt>
                <c:pt idx="2">
                  <c:v>0.48599999999999999</c:v>
                </c:pt>
                <c:pt idx="3">
                  <c:v>0.37269999999999998</c:v>
                </c:pt>
                <c:pt idx="4">
                  <c:v>0.34839999999999999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7DD"/>
                    </a:solidFill>
                    <a:prstDash val="solid"/>
                  </a:ln>
                </c14:spPr>
              </c14:invertSolidFillFmt>
            </c:ext>
            <c:ext xmlns:c16="http://schemas.microsoft.com/office/drawing/2014/chart" uri="{C3380CC4-5D6E-409C-BE32-E72D297353CC}">
              <c16:uniqueId val="{00000000-A049-4F7A-8FB5-BD42376AF2A2}"/>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Conversion Rate</a:t>
                </a:r>
              </a:p>
            </c:rich>
          </c:tx>
          <c:overlay val="1"/>
        </c:title>
        <c:numFmt formatCode="General" sourceLinked="1"/>
        <c:majorTickMark val="out"/>
        <c:minorTickMark val="none"/>
        <c:tickLblPos val="nextTo"/>
        <c:crossAx val="10"/>
        <c:crosses val="autoZero"/>
        <c:crossBetween val="between"/>
      </c:valAx>
      <c:dTable>
        <c:showHorzBorder val="1"/>
        <c:showVertBorder val="1"/>
        <c:showOutline val="1"/>
        <c:showKeys val="1"/>
      </c:dTable>
    </c:plotArea>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Clicks</a:t>
            </a:r>
            <a:r>
              <a:rPr lang="en-US" baseline="0"/>
              <a:t> by Location</a:t>
            </a:r>
            <a:endParaRPr lang="en-US"/>
          </a:p>
        </c:rich>
      </c:tx>
      <c:layout>
        <c:manualLayout>
          <c:xMode val="edge"/>
          <c:yMode val="edge"/>
          <c:x val="0.40061959876543207"/>
          <c:y val="3.920040546505861E-2"/>
        </c:manualLayout>
      </c:layout>
      <c:overlay val="0"/>
    </c:title>
    <c:autoTitleDeleted val="0"/>
    <c:plotArea>
      <c:layout>
        <c:manualLayout>
          <c:layoutTarget val="inner"/>
          <c:xMode val="edge"/>
          <c:yMode val="edge"/>
          <c:x val="0.10148425925925926"/>
          <c:y val="3.5277777777777776E-2"/>
          <c:w val="0.87695709876543215"/>
          <c:h val="0.88057606837606839"/>
        </c:manualLayout>
      </c:layout>
      <c:barChart>
        <c:barDir val="col"/>
        <c:grouping val="clustered"/>
        <c:varyColors val="1"/>
        <c:ser>
          <c:idx val="0"/>
          <c:order val="0"/>
          <c:tx>
            <c:strRef>
              <c:f>'[1]Channel Charts'!$D$4</c:f>
              <c:strCache>
                <c:ptCount val="1"/>
                <c:pt idx="0">
                  <c:v>Clicks</c:v>
                </c:pt>
              </c:strCache>
            </c:strRef>
          </c:tx>
          <c:spPr>
            <a:solidFill>
              <a:srgbClr val="D85A30"/>
            </a:solidFill>
            <a:ln>
              <a:solidFill>
                <a:srgbClr val="D85A30"/>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'[1]Channel Charts'!$B$5:$B$9</c:f>
              <c:strCache>
                <c:ptCount val="5"/>
                <c:pt idx="0">
                  <c:v>Car Wash Forums</c:v>
                </c:pt>
                <c:pt idx="1">
                  <c:v>Streaming Service</c:v>
                </c:pt>
                <c:pt idx="2">
                  <c:v>Fast Food Sites</c:v>
                </c:pt>
                <c:pt idx="3">
                  <c:v>Email Campaigns</c:v>
                </c:pt>
                <c:pt idx="4">
                  <c:v>Fan Forums</c:v>
                </c:pt>
              </c:strCache>
            </c:strRef>
          </c:cat>
          <c:val>
            <c:numRef>
              <c:f>'[1]Channel Charts'!$D$5:$D$9</c:f>
              <c:numCache>
                <c:formatCode>General</c:formatCode>
                <c:ptCount val="5"/>
                <c:pt idx="0">
                  <c:v>4080</c:v>
                </c:pt>
                <c:pt idx="1">
                  <c:v>6938</c:v>
                </c:pt>
                <c:pt idx="2">
                  <c:v>13112</c:v>
                </c:pt>
                <c:pt idx="3">
                  <c:v>10620</c:v>
                </c:pt>
                <c:pt idx="4">
                  <c:v>14544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D85A30"/>
                    </a:solidFill>
                    <a:prstDash val="solid"/>
                  </a:ln>
                </c14:spPr>
              </c14:invertSolidFillFmt>
            </c:ext>
            <c:ext xmlns:c16="http://schemas.microsoft.com/office/drawing/2014/chart" uri="{C3380CC4-5D6E-409C-BE32-E72D297353CC}">
              <c16:uniqueId val="{00000000-7B64-4B01-93E1-E88BFFFBBD87}"/>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dTable>
        <c:showHorzBorder val="1"/>
        <c:showVertBorder val="1"/>
        <c:showOutline val="1"/>
        <c:showKeys val="1"/>
      </c:dTable>
    </c:plotArea>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&amp; Tables'!$B$143</c:f>
              <c:strCache>
                <c:ptCount val="1"/>
                <c:pt idx="0">
                  <c:v>Total</c:v>
                </c:pt>
              </c:strCache>
            </c:strRef>
          </c:tx>
          <c:spPr>
            <a:solidFill>
              <a:schemeClr val="accent1"/>
            </a:solidFill>
            <a:ln>
              <a:noFill/>
            </a:ln>
            <a:effectLst/>
          </c:spPr>
          <c:invertIfNegative val="0"/>
          <c:cat>
            <c:strRef>
              <c:f>'Charts &amp; Tables'!$A$144:$A$150</c:f>
              <c:strCache>
                <c:ptCount val="6"/>
                <c:pt idx="0">
                  <c:v>Blue Sky Special</c:v>
                </c:pt>
                <c:pt idx="1">
                  <c:v>Crystal Clear Discount</c:v>
                </c:pt>
                <c:pt idx="2">
                  <c:v>Heisenberg'S Deals</c:v>
                </c:pt>
                <c:pt idx="3">
                  <c:v>Mt Lab Mania</c:v>
                </c:pt>
                <c:pt idx="4">
                  <c:v>The Pinkman Promotion</c:v>
                </c:pt>
                <c:pt idx="5">
                  <c:v>Walter Promo</c:v>
                </c:pt>
              </c:strCache>
            </c:strRef>
          </c:cat>
          <c:val>
            <c:numRef>
              <c:f>'Charts &amp; Tables'!$B$144:$B$150</c:f>
              <c:numCache>
                <c:formatCode>General</c:formatCode>
                <c:ptCount val="6"/>
                <c:pt idx="0">
                  <c:v>4073</c:v>
                </c:pt>
                <c:pt idx="1">
                  <c:v>4626</c:v>
                </c:pt>
                <c:pt idx="2">
                  <c:v>3559</c:v>
                </c:pt>
                <c:pt idx="3">
                  <c:v>5729</c:v>
                </c:pt>
                <c:pt idx="4">
                  <c:v>2704</c:v>
                </c:pt>
                <c:pt idx="5">
                  <c:v>833</c:v>
                </c:pt>
              </c:numCache>
            </c:numRef>
          </c:val>
          <c:extLst>
            <c:ext xmlns:c16="http://schemas.microsoft.com/office/drawing/2014/chart" uri="{C3380CC4-5D6E-409C-BE32-E72D297353CC}">
              <c16:uniqueId val="{00000000-D419-4DAA-90D6-9F3EC0360320}"/>
            </c:ext>
          </c:extLst>
        </c:ser>
        <c:dLbls>
          <c:showLegendKey val="0"/>
          <c:showVal val="0"/>
          <c:showCatName val="0"/>
          <c:showSerName val="0"/>
          <c:showPercent val="0"/>
          <c:showBubbleSize val="0"/>
        </c:dLbls>
        <c:gapWidth val="219"/>
        <c:overlap val="-27"/>
        <c:axId val="982293391"/>
        <c:axId val="982273711"/>
      </c:barChart>
      <c:catAx>
        <c:axId val="9822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73711"/>
        <c:crosses val="autoZero"/>
        <c:auto val="1"/>
        <c:lblAlgn val="ctr"/>
        <c:lblOffset val="100"/>
        <c:noMultiLvlLbl val="0"/>
      </c:catAx>
      <c:valAx>
        <c:axId val="98227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933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 Dashboard.xlsx]Charts &amp; Tables!PivotTable3</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Per Month</a:t>
            </a:r>
            <a:endParaRPr lang="en-US"/>
          </a:p>
        </c:rich>
      </c:tx>
      <c:layout>
        <c:manualLayout>
          <c:xMode val="edge"/>
          <c:yMode val="edge"/>
          <c:x val="0.38688691232528588"/>
          <c:y val="5.092592592592592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&amp; Tables'!$B$3</c:f>
              <c:strCache>
                <c:ptCount val="1"/>
                <c:pt idx="0">
                  <c:v>Total</c:v>
                </c:pt>
              </c:strCache>
            </c:strRef>
          </c:tx>
          <c:spPr>
            <a:solidFill>
              <a:schemeClr val="accent1"/>
            </a:solidFill>
            <a:ln>
              <a:noFill/>
            </a:ln>
            <a:effectLst/>
          </c:spPr>
          <c:invertIfNegative val="0"/>
          <c:cat>
            <c:strRef>
              <c:f>'Charts &amp; Tables'!$A$4:$A$9</c:f>
              <c:strCache>
                <c:ptCount val="5"/>
                <c:pt idx="0">
                  <c:v>Aug</c:v>
                </c:pt>
                <c:pt idx="1">
                  <c:v>Sep</c:v>
                </c:pt>
                <c:pt idx="2">
                  <c:v>Oct</c:v>
                </c:pt>
                <c:pt idx="3">
                  <c:v>Nov</c:v>
                </c:pt>
                <c:pt idx="4">
                  <c:v>Dec</c:v>
                </c:pt>
              </c:strCache>
            </c:strRef>
          </c:cat>
          <c:val>
            <c:numRef>
              <c:f>'Charts &amp; Tables'!$B$4:$B$9</c:f>
              <c:numCache>
                <c:formatCode>General</c:formatCode>
                <c:ptCount val="5"/>
                <c:pt idx="0">
                  <c:v>3226</c:v>
                </c:pt>
                <c:pt idx="1">
                  <c:v>3363</c:v>
                </c:pt>
                <c:pt idx="2">
                  <c:v>4668</c:v>
                </c:pt>
                <c:pt idx="3">
                  <c:v>6348</c:v>
                </c:pt>
                <c:pt idx="4">
                  <c:v>3919</c:v>
                </c:pt>
              </c:numCache>
            </c:numRef>
          </c:val>
          <c:extLst>
            <c:ext xmlns:c16="http://schemas.microsoft.com/office/drawing/2014/chart" uri="{C3380CC4-5D6E-409C-BE32-E72D297353CC}">
              <c16:uniqueId val="{00000000-F1DD-494A-B8FF-855B2735161E}"/>
            </c:ext>
          </c:extLst>
        </c:ser>
        <c:dLbls>
          <c:showLegendKey val="0"/>
          <c:showVal val="0"/>
          <c:showCatName val="0"/>
          <c:showSerName val="0"/>
          <c:showPercent val="0"/>
          <c:showBubbleSize val="0"/>
        </c:dLbls>
        <c:gapWidth val="182"/>
        <c:axId val="1538250688"/>
        <c:axId val="1538234368"/>
      </c:barChart>
      <c:catAx>
        <c:axId val="153825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34368"/>
        <c:crosses val="autoZero"/>
        <c:auto val="1"/>
        <c:lblAlgn val="ctr"/>
        <c:lblOffset val="100"/>
        <c:noMultiLvlLbl val="0"/>
      </c:catAx>
      <c:valAx>
        <c:axId val="153823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50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342900</xdr:colOff>
      <xdr:row>139</xdr:row>
      <xdr:rowOff>34924</xdr:rowOff>
    </xdr:from>
    <xdr:to>
      <xdr:col>8</xdr:col>
      <xdr:colOff>184150</xdr:colOff>
      <xdr:row>158</xdr:row>
      <xdr:rowOff>177799</xdr:rowOff>
    </xdr:to>
    <xdr:graphicFrame macro="">
      <xdr:nvGraphicFramePr>
        <xdr:cNvPr id="2" name="Chart 3">
          <a:extLst>
            <a:ext uri="{FF2B5EF4-FFF2-40B4-BE49-F238E27FC236}">
              <a16:creationId xmlns:a16="http://schemas.microsoft.com/office/drawing/2014/main" id="{4FDF4154-F909-C4A8-06D9-05855322E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549274</xdr:colOff>
      <xdr:row>184</xdr:row>
      <xdr:rowOff>31750</xdr:rowOff>
    </xdr:from>
    <xdr:to>
      <xdr:col>10</xdr:col>
      <xdr:colOff>146050</xdr:colOff>
      <xdr:row>206</xdr:row>
      <xdr:rowOff>133349</xdr:rowOff>
    </xdr:to>
    <xdr:graphicFrame macro="">
      <xdr:nvGraphicFramePr>
        <xdr:cNvPr id="3" name="Chart 4">
          <a:extLst>
            <a:ext uri="{FF2B5EF4-FFF2-40B4-BE49-F238E27FC236}">
              <a16:creationId xmlns:a16="http://schemas.microsoft.com/office/drawing/2014/main" id="{2F502819-5E4D-C4E3-3496-04B78E5D4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50800</xdr:colOff>
      <xdr:row>0</xdr:row>
      <xdr:rowOff>171450</xdr:rowOff>
    </xdr:from>
    <xdr:to>
      <xdr:col>9</xdr:col>
      <xdr:colOff>228600</xdr:colOff>
      <xdr:row>17</xdr:row>
      <xdr:rowOff>149225</xdr:rowOff>
    </xdr:to>
    <xdr:graphicFrame macro="">
      <xdr:nvGraphicFramePr>
        <xdr:cNvPr id="5" name="Chart 4">
          <a:extLst>
            <a:ext uri="{FF2B5EF4-FFF2-40B4-BE49-F238E27FC236}">
              <a16:creationId xmlns:a16="http://schemas.microsoft.com/office/drawing/2014/main" id="{29D774D5-D4C1-0287-CB8C-55AD9CE5D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427790</xdr:colOff>
      <xdr:row>51</xdr:row>
      <xdr:rowOff>53474</xdr:rowOff>
    </xdr:from>
    <xdr:to>
      <xdr:col>10</xdr:col>
      <xdr:colOff>367633</xdr:colOff>
      <xdr:row>70</xdr:row>
      <xdr:rowOff>180474</xdr:rowOff>
    </xdr:to>
    <xdr:sp macro="" textlink="">
      <xdr:nvSpPr>
        <xdr:cNvPr id="2" name="Rectangle: Rounded Corners 1">
          <a:extLst>
            <a:ext uri="{FF2B5EF4-FFF2-40B4-BE49-F238E27FC236}">
              <a16:creationId xmlns:a16="http://schemas.microsoft.com/office/drawing/2014/main" id="{997081FC-974F-E2E0-7E18-DA59DD727E25}"/>
            </a:ext>
          </a:extLst>
        </xdr:cNvPr>
        <xdr:cNvSpPr/>
      </xdr:nvSpPr>
      <xdr:spPr>
        <a:xfrm>
          <a:off x="3101474" y="9585158"/>
          <a:ext cx="6329948" cy="368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181309</xdr:colOff>
      <xdr:row>28</xdr:row>
      <xdr:rowOff>10305</xdr:rowOff>
    </xdr:from>
    <xdr:to>
      <xdr:col>17</xdr:col>
      <xdr:colOff>186071</xdr:colOff>
      <xdr:row>50</xdr:row>
      <xdr:rowOff>114912</xdr:rowOff>
    </xdr:to>
    <xdr:graphicFrame macro="">
      <xdr:nvGraphicFramePr>
        <xdr:cNvPr id="7" name="Chart 6">
          <a:extLst>
            <a:ext uri="{FF2B5EF4-FFF2-40B4-BE49-F238E27FC236}">
              <a16:creationId xmlns:a16="http://schemas.microsoft.com/office/drawing/2014/main" id="{4C975155-E61B-4513-BA3A-3A13EE111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787203</xdr:colOff>
      <xdr:row>28</xdr:row>
      <xdr:rowOff>10305</xdr:rowOff>
    </xdr:from>
    <xdr:to>
      <xdr:col>8</xdr:col>
      <xdr:colOff>188744</xdr:colOff>
      <xdr:row>47</xdr:row>
      <xdr:rowOff>156188</xdr:rowOff>
    </xdr:to>
    <xdr:graphicFrame macro="">
      <xdr:nvGraphicFramePr>
        <xdr:cNvPr id="9" name="Chart 8">
          <a:extLst>
            <a:ext uri="{FF2B5EF4-FFF2-40B4-BE49-F238E27FC236}">
              <a16:creationId xmlns:a16="http://schemas.microsoft.com/office/drawing/2014/main" id="{AC76CE70-19F1-4E56-9E3F-0F65AA95E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1185613</xdr:colOff>
      <xdr:row>28</xdr:row>
      <xdr:rowOff>10305</xdr:rowOff>
    </xdr:from>
    <xdr:to>
      <xdr:col>2</xdr:col>
      <xdr:colOff>341286</xdr:colOff>
      <xdr:row>37</xdr:row>
      <xdr:rowOff>119314</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A0BF3404-6AE9-05EF-FBF5-496C826CDDB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85613" y="5237358"/>
              <a:ext cx="1829357" cy="1793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631351</xdr:colOff>
      <xdr:row>52</xdr:row>
      <xdr:rowOff>33421</xdr:rowOff>
    </xdr:from>
    <xdr:to>
      <xdr:col>10</xdr:col>
      <xdr:colOff>157608</xdr:colOff>
      <xdr:row>69</xdr:row>
      <xdr:rowOff>22837</xdr:rowOff>
    </xdr:to>
    <xdr:graphicFrame macro="">
      <xdr:nvGraphicFramePr>
        <xdr:cNvPr id="4" name="Chart 3">
          <a:extLst>
            <a:ext uri="{FF2B5EF4-FFF2-40B4-BE49-F238E27FC236}">
              <a16:creationId xmlns:a16="http://schemas.microsoft.com/office/drawing/2014/main" id="{8E56AC64-E402-4F72-AA66-4EC2F2F1D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346409</xdr:colOff>
      <xdr:row>52</xdr:row>
      <xdr:rowOff>33422</xdr:rowOff>
    </xdr:from>
    <xdr:to>
      <xdr:col>14</xdr:col>
      <xdr:colOff>198243</xdr:colOff>
      <xdr:row>62</xdr:row>
      <xdr:rowOff>40105</xdr:rowOff>
    </xdr:to>
    <mc:AlternateContent xmlns:mc="http://schemas.openxmlformats.org/markup-compatibility/2006">
      <mc:Choice xmlns:a14="http://schemas.microsoft.com/office/drawing/2010/main" Requires="a14">
        <xdr:graphicFrame macro="">
          <xdr:nvGraphicFramePr>
            <xdr:cNvPr id="5" name="Campaign Name">
              <a:extLst>
                <a:ext uri="{FF2B5EF4-FFF2-40B4-BE49-F238E27FC236}">
                  <a16:creationId xmlns:a16="http://schemas.microsoft.com/office/drawing/2014/main" id="{DDB73845-FF2C-C451-7B22-76B0EFF96298}"/>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dr:sp macro="" textlink="">
          <xdr:nvSpPr>
            <xdr:cNvPr id="0" name=""/>
            <xdr:cNvSpPr>
              <a:spLocks noTextEdit="1"/>
            </xdr:cNvSpPr>
          </xdr:nvSpPr>
          <xdr:spPr>
            <a:xfrm>
              <a:off x="9971672" y="9752264"/>
              <a:ext cx="1536255" cy="1878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940190</xdr:colOff>
      <xdr:row>52</xdr:row>
      <xdr:rowOff>33421</xdr:rowOff>
    </xdr:from>
    <xdr:to>
      <xdr:col>1</xdr:col>
      <xdr:colOff>1294593</xdr:colOff>
      <xdr:row>61</xdr:row>
      <xdr:rowOff>39771</xdr:rowOff>
    </xdr:to>
    <mc:AlternateContent xmlns:mc="http://schemas.openxmlformats.org/markup-compatibility/2006">
      <mc:Choice xmlns:a14="http://schemas.microsoft.com/office/drawing/2010/main" Requires="a14">
        <xdr:graphicFrame macro="">
          <xdr:nvGraphicFramePr>
            <xdr:cNvPr id="6" name="Location 1">
              <a:extLst>
                <a:ext uri="{FF2B5EF4-FFF2-40B4-BE49-F238E27FC236}">
                  <a16:creationId xmlns:a16="http://schemas.microsoft.com/office/drawing/2014/main" id="{BCCDF1CD-1ED4-F851-8073-E7E3EFF057C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940190" y="9752263"/>
              <a:ext cx="1564245" cy="1690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290763</xdr:colOff>
      <xdr:row>75</xdr:row>
      <xdr:rowOff>30078</xdr:rowOff>
    </xdr:from>
    <xdr:ext cx="6480000" cy="5105450"/>
    <xdr:graphicFrame macro="">
      <xdr:nvGraphicFramePr>
        <xdr:cNvPr id="8" name="Chart 7">
          <a:extLst>
            <a:ext uri="{FF2B5EF4-FFF2-40B4-BE49-F238E27FC236}">
              <a16:creationId xmlns:a16="http://schemas.microsoft.com/office/drawing/2014/main" id="{A99C0A86-B6CC-482F-BD9F-173958B73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403280</xdr:colOff>
      <xdr:row>75</xdr:row>
      <xdr:rowOff>30078</xdr:rowOff>
    </xdr:from>
    <xdr:ext cx="6480000" cy="4680000"/>
    <xdr:graphicFrame macro="">
      <xdr:nvGraphicFramePr>
        <xdr:cNvPr id="10" name="Chart 9">
          <a:extLst>
            <a:ext uri="{FF2B5EF4-FFF2-40B4-BE49-F238E27FC236}">
              <a16:creationId xmlns:a16="http://schemas.microsoft.com/office/drawing/2014/main" id="{56AA604B-66C3-4688-9558-1D5696019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twoCellAnchor>
    <xdr:from>
      <xdr:col>7</xdr:col>
      <xdr:colOff>359833</xdr:colOff>
      <xdr:row>11</xdr:row>
      <xdr:rowOff>137585</xdr:rowOff>
    </xdr:from>
    <xdr:to>
      <xdr:col>10</xdr:col>
      <xdr:colOff>177963</xdr:colOff>
      <xdr:row>17</xdr:row>
      <xdr:rowOff>93823</xdr:rowOff>
    </xdr:to>
    <xdr:sp macro="" textlink="">
      <xdr:nvSpPr>
        <xdr:cNvPr id="15" name="Rectangle: Rounded Corners 14">
          <a:extLst>
            <a:ext uri="{FF2B5EF4-FFF2-40B4-BE49-F238E27FC236}">
              <a16:creationId xmlns:a16="http://schemas.microsoft.com/office/drawing/2014/main" id="{F65F3979-1DA1-2250-DB4C-3CB3AD274ABA}"/>
            </a:ext>
          </a:extLst>
        </xdr:cNvPr>
        <xdr:cNvSpPr/>
      </xdr:nvSpPr>
      <xdr:spPr>
        <a:xfrm>
          <a:off x="8614833" y="2116668"/>
          <a:ext cx="1786630" cy="1035738"/>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Total Clicks                       49,294</a:t>
          </a:r>
        </a:p>
        <a:p>
          <a:pPr algn="ctr"/>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394370</xdr:colOff>
      <xdr:row>18</xdr:row>
      <xdr:rowOff>10584</xdr:rowOff>
    </xdr:from>
    <xdr:to>
      <xdr:col>10</xdr:col>
      <xdr:colOff>145643</xdr:colOff>
      <xdr:row>22</xdr:row>
      <xdr:rowOff>127001</xdr:rowOff>
    </xdr:to>
    <xdr:sp macro="" textlink="">
      <xdr:nvSpPr>
        <xdr:cNvPr id="16" name="Rectangle: Rounded Corners 15">
          <a:extLst>
            <a:ext uri="{FF2B5EF4-FFF2-40B4-BE49-F238E27FC236}">
              <a16:creationId xmlns:a16="http://schemas.microsoft.com/office/drawing/2014/main" id="{36565720-3E6E-8E44-13C0-C8F67A1CECFE}"/>
            </a:ext>
          </a:extLst>
        </xdr:cNvPr>
        <xdr:cNvSpPr/>
      </xdr:nvSpPr>
      <xdr:spPr>
        <a:xfrm>
          <a:off x="7773738" y="3366058"/>
          <a:ext cx="1435694" cy="86504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 </a:t>
          </a:r>
          <a:r>
            <a:rPr lang="en-US" sz="1400" b="0">
              <a:solidFill>
                <a:srgbClr val="00B050"/>
              </a:solidFill>
              <a:latin typeface="Calibri" panose="020F0502020204030204" pitchFamily="34" charset="0"/>
              <a:ea typeface="Calibri" panose="020F0502020204030204" pitchFamily="34" charset="0"/>
              <a:cs typeface="Calibri" panose="020F0502020204030204" pitchFamily="34" charset="0"/>
            </a:rPr>
            <a:t>Total Units Sold  </a:t>
          </a:r>
        </a:p>
        <a:p>
          <a:pPr algn="ctr"/>
          <a:r>
            <a:rPr lang="en-US" sz="1400" b="0">
              <a:solidFill>
                <a:srgbClr val="00B050"/>
              </a:solidFill>
              <a:latin typeface="Calibri" panose="020F0502020204030204" pitchFamily="34" charset="0"/>
              <a:ea typeface="Calibri" panose="020F0502020204030204" pitchFamily="34" charset="0"/>
              <a:cs typeface="Calibri" panose="020F0502020204030204" pitchFamily="34" charset="0"/>
            </a:rPr>
            <a:t> 21,524</a:t>
          </a:r>
        </a:p>
        <a:p>
          <a:pPr algn="ctr"/>
          <a:r>
            <a:rPr lang="en-US" sz="1100"/>
            <a:t> </a:t>
          </a:r>
        </a:p>
      </xdr:txBody>
    </xdr:sp>
    <xdr:clientData/>
  </xdr:twoCellAnchor>
  <xdr:twoCellAnchor>
    <xdr:from>
      <xdr:col>10</xdr:col>
      <xdr:colOff>441158</xdr:colOff>
      <xdr:row>5</xdr:row>
      <xdr:rowOff>86338</xdr:rowOff>
    </xdr:from>
    <xdr:to>
      <xdr:col>14</xdr:col>
      <xdr:colOff>541421</xdr:colOff>
      <xdr:row>11</xdr:row>
      <xdr:rowOff>26737</xdr:rowOff>
    </xdr:to>
    <xdr:sp macro="" textlink="">
      <xdr:nvSpPr>
        <xdr:cNvPr id="17" name="Rectangle: Rounded Corners 16">
          <a:extLst>
            <a:ext uri="{FF2B5EF4-FFF2-40B4-BE49-F238E27FC236}">
              <a16:creationId xmlns:a16="http://schemas.microsoft.com/office/drawing/2014/main" id="{B576797E-7824-D2F0-5EB4-3A6272222C80}"/>
            </a:ext>
          </a:extLst>
        </xdr:cNvPr>
        <xdr:cNvSpPr/>
      </xdr:nvSpPr>
      <xdr:spPr>
        <a:xfrm>
          <a:off x="9504947" y="1008759"/>
          <a:ext cx="2346158" cy="106334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Peak Month                                                          November</a:t>
          </a:r>
        </a:p>
      </xdr:txBody>
    </xdr:sp>
    <xdr:clientData/>
  </xdr:twoCellAnchor>
  <xdr:twoCellAnchor>
    <xdr:from>
      <xdr:col>7</xdr:col>
      <xdr:colOff>370417</xdr:colOff>
      <xdr:row>5</xdr:row>
      <xdr:rowOff>63500</xdr:rowOff>
    </xdr:from>
    <xdr:to>
      <xdr:col>10</xdr:col>
      <xdr:colOff>169333</xdr:colOff>
      <xdr:row>11</xdr:row>
      <xdr:rowOff>10583</xdr:rowOff>
    </xdr:to>
    <xdr:sp macro="" textlink="">
      <xdr:nvSpPr>
        <xdr:cNvPr id="19" name="Rectangle: Rounded Corners 18">
          <a:extLst>
            <a:ext uri="{FF2B5EF4-FFF2-40B4-BE49-F238E27FC236}">
              <a16:creationId xmlns:a16="http://schemas.microsoft.com/office/drawing/2014/main" id="{6968C2AB-A7A1-2BF5-3D0C-1A68BB205B66}"/>
            </a:ext>
          </a:extLst>
        </xdr:cNvPr>
        <xdr:cNvSpPr/>
      </xdr:nvSpPr>
      <xdr:spPr>
        <a:xfrm>
          <a:off x="8625417" y="963083"/>
          <a:ext cx="1767416" cy="1026583"/>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1"/>
              </a:solidFill>
              <a:latin typeface="Calibri" panose="020F0502020204030204" pitchFamily="34" charset="0"/>
              <a:ea typeface="Calibri" panose="020F0502020204030204" pitchFamily="34" charset="0"/>
              <a:cs typeface="Calibri" panose="020F0502020204030204" pitchFamily="34" charset="0"/>
            </a:rPr>
            <a:t>Total</a:t>
          </a:r>
          <a:r>
            <a:rPr lang="en-US" sz="1600" baseline="0">
              <a:solidFill>
                <a:schemeClr val="accent1"/>
              </a:solidFill>
              <a:latin typeface="Calibri" panose="020F0502020204030204" pitchFamily="34" charset="0"/>
              <a:ea typeface="Calibri" panose="020F0502020204030204" pitchFamily="34" charset="0"/>
              <a:cs typeface="Calibri" panose="020F0502020204030204" pitchFamily="34" charset="0"/>
            </a:rPr>
            <a:t> Impressions                                                         689,681</a:t>
          </a:r>
          <a:endParaRPr lang="en-US" sz="1600">
            <a:solidFill>
              <a:schemeClr val="accen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455083</xdr:colOff>
      <xdr:row>11</xdr:row>
      <xdr:rowOff>153737</xdr:rowOff>
    </xdr:from>
    <xdr:to>
      <xdr:col>14</xdr:col>
      <xdr:colOff>560916</xdr:colOff>
      <xdr:row>17</xdr:row>
      <xdr:rowOff>106946</xdr:rowOff>
    </xdr:to>
    <xdr:sp macro="" textlink="">
      <xdr:nvSpPr>
        <xdr:cNvPr id="20" name="Rectangle: Rounded Corners 19">
          <a:extLst>
            <a:ext uri="{FF2B5EF4-FFF2-40B4-BE49-F238E27FC236}">
              <a16:creationId xmlns:a16="http://schemas.microsoft.com/office/drawing/2014/main" id="{9C8458F2-5A4F-4795-398A-1ADF3D315699}"/>
            </a:ext>
          </a:extLst>
        </xdr:cNvPr>
        <xdr:cNvSpPr/>
      </xdr:nvSpPr>
      <xdr:spPr>
        <a:xfrm>
          <a:off x="9518872" y="2199105"/>
          <a:ext cx="2351728" cy="107615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Average Conversion Rate</a:t>
          </a:r>
          <a:r>
            <a:rPr lang="en-US" sz="1400" baseline="0">
              <a:latin typeface="Calibri" panose="020F0502020204030204" pitchFamily="34" charset="0"/>
              <a:ea typeface="Calibri" panose="020F0502020204030204" pitchFamily="34" charset="0"/>
              <a:cs typeface="Calibri" panose="020F0502020204030204" pitchFamily="34" charset="0"/>
            </a:rPr>
            <a:t> per Campaign                                                               45.7%</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487947</xdr:colOff>
      <xdr:row>18</xdr:row>
      <xdr:rowOff>26737</xdr:rowOff>
    </xdr:from>
    <xdr:to>
      <xdr:col>15</xdr:col>
      <xdr:colOff>60158</xdr:colOff>
      <xdr:row>22</xdr:row>
      <xdr:rowOff>127000</xdr:rowOff>
    </xdr:to>
    <xdr:sp macro="" textlink="">
      <xdr:nvSpPr>
        <xdr:cNvPr id="21" name="Rectangle: Rounded Corners 20">
          <a:extLst>
            <a:ext uri="{FF2B5EF4-FFF2-40B4-BE49-F238E27FC236}">
              <a16:creationId xmlns:a16="http://schemas.microsoft.com/office/drawing/2014/main" id="{64836F53-AD61-E9CF-75E9-8A9E97DEB1F5}"/>
            </a:ext>
          </a:extLst>
        </xdr:cNvPr>
        <xdr:cNvSpPr/>
      </xdr:nvSpPr>
      <xdr:spPr>
        <a:xfrm>
          <a:off x="9551736" y="3382211"/>
          <a:ext cx="2379580" cy="848894"/>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rPr>
            <a:t>Average Conversion</a:t>
          </a:r>
          <a:r>
            <a:rPr lang="en-US" sz="1400" baseline="0">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rPr>
            <a:t> Rate                                                                                               per  Location                                                   47.1%</a:t>
          </a:r>
          <a:endParaRPr lang="en-US" sz="1400">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4</xdr:row>
      <xdr:rowOff>107950</xdr:rowOff>
    </xdr:from>
    <xdr:ext cx="6480000" cy="5105450"/>
    <xdr:graphicFrame macro="">
      <xdr:nvGraphicFramePr>
        <xdr:cNvPr id="5" name="Chart 4">
          <a:extLst>
            <a:ext uri="{FF2B5EF4-FFF2-40B4-BE49-F238E27FC236}">
              <a16:creationId xmlns:a16="http://schemas.microsoft.com/office/drawing/2014/main" id="{06DC5F78-3E9E-425A-AD88-A226DB3C3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17</xdr:col>
      <xdr:colOff>468690</xdr:colOff>
      <xdr:row>4</xdr:row>
      <xdr:rowOff>75596</xdr:rowOff>
    </xdr:from>
    <xdr:ext cx="6480000" cy="5137804"/>
    <xdr:graphicFrame macro="">
      <xdr:nvGraphicFramePr>
        <xdr:cNvPr id="15" name="Chart 14">
          <a:extLst>
            <a:ext uri="{FF2B5EF4-FFF2-40B4-BE49-F238E27FC236}">
              <a16:creationId xmlns:a16="http://schemas.microsoft.com/office/drawing/2014/main" id="{530DCED1-246D-4FFF-9CCE-C8DE220EB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twoCellAnchor>
    <xdr:from>
      <xdr:col>5</xdr:col>
      <xdr:colOff>298450</xdr:colOff>
      <xdr:row>5</xdr:row>
      <xdr:rowOff>139700</xdr:rowOff>
    </xdr:from>
    <xdr:to>
      <xdr:col>13</xdr:col>
      <xdr:colOff>615950</xdr:colOff>
      <xdr:row>25</xdr:row>
      <xdr:rowOff>98425</xdr:rowOff>
    </xdr:to>
    <xdr:graphicFrame macro="">
      <xdr:nvGraphicFramePr>
        <xdr:cNvPr id="2" name="Chart 1">
          <a:extLst>
            <a:ext uri="{FF2B5EF4-FFF2-40B4-BE49-F238E27FC236}">
              <a16:creationId xmlns:a16="http://schemas.microsoft.com/office/drawing/2014/main" id="{A21F33DE-8355-425E-8C31-0CAA8691B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406400</xdr:colOff>
      <xdr:row>4</xdr:row>
      <xdr:rowOff>50800</xdr:rowOff>
    </xdr:from>
    <xdr:to>
      <xdr:col>17</xdr:col>
      <xdr:colOff>209550</xdr:colOff>
      <xdr:row>21</xdr:row>
      <xdr:rowOff>28575</xdr:rowOff>
    </xdr:to>
    <xdr:graphicFrame macro="">
      <xdr:nvGraphicFramePr>
        <xdr:cNvPr id="2" name="Chart 1">
          <a:extLst>
            <a:ext uri="{FF2B5EF4-FFF2-40B4-BE49-F238E27FC236}">
              <a16:creationId xmlns:a16="http://schemas.microsoft.com/office/drawing/2014/main" id="{CE7E0400-62AA-4EA0-9201-DBD8D0751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Marketing_Dashboard.xlsx" TargetMode="External"/><Relationship Id="rId2" Type="http://schemas.openxmlformats.org/officeDocument/2006/relationships/externalLinkPath" Target="file:///C:\Users\hp\Downloads\Marketing_Dashboard.xlsx" TargetMode="External"/><Relationship Id="rId1" Type="http://schemas.openxmlformats.org/officeDocument/2006/relationships/externalLinkPath" Target="/Users/hp/Downloads/Marketing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Campaign Charts"/>
      <sheetName val="Channel Charts"/>
      <sheetName val="Monthly Trend"/>
      <sheetName val="Raw Data"/>
    </sheetNames>
    <sheetDataSet>
      <sheetData sheetId="0"/>
      <sheetData sheetId="1"/>
      <sheetData sheetId="2">
        <row r="4">
          <cell r="D4" t="str">
            <v>Clicks</v>
          </cell>
          <cell r="F4" t="str">
            <v>Conv. Rate</v>
          </cell>
        </row>
        <row r="5">
          <cell r="B5" t="str">
            <v>Car Wash Forums</v>
          </cell>
          <cell r="D5">
            <v>4080</v>
          </cell>
          <cell r="F5">
            <v>0.63749999999999996</v>
          </cell>
        </row>
        <row r="6">
          <cell r="B6" t="str">
            <v>Streaming Service</v>
          </cell>
          <cell r="D6">
            <v>6938</v>
          </cell>
          <cell r="F6">
            <v>0.50819999999999999</v>
          </cell>
        </row>
        <row r="7">
          <cell r="B7" t="str">
            <v>Fast Food Sites</v>
          </cell>
          <cell r="D7">
            <v>13112</v>
          </cell>
          <cell r="F7">
            <v>0.48599999999999999</v>
          </cell>
        </row>
        <row r="8">
          <cell r="B8" t="str">
            <v>Email Campaigns</v>
          </cell>
          <cell r="D8">
            <v>10620</v>
          </cell>
          <cell r="F8">
            <v>0.37269999999999998</v>
          </cell>
        </row>
        <row r="9">
          <cell r="B9" t="str">
            <v>Fan Forums</v>
          </cell>
          <cell r="D9">
            <v>14544</v>
          </cell>
          <cell r="F9">
            <v>0.34839999999999999</v>
          </cell>
        </row>
      </sheetData>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0.906099074076" createdVersion="8" refreshedVersion="8" minRefreshableVersion="3" recordCount="155" xr:uid="{419AF758-93D4-40B9-8879-AC9CEC803F71}">
  <cacheSource type="worksheet">
    <worksheetSource ref="A1:G1048576" sheet="Campaign Metrics"/>
  </cacheSource>
  <cacheFields count="7">
    <cacheField name="Date" numFmtId="164">
      <sharedItems containsNonDate="0" containsDate="1" containsString="0" containsBlank="1" minDate="2025-08-01T00:00:00" maxDate="2025-12-29T00:00:00"/>
    </cacheField>
    <cacheField name="Campaign Name" numFmtId="0">
      <sharedItems containsBlank="1" count="7">
        <s v="The Pinkman Promotion"/>
        <s v="Blue Sky Special"/>
        <s v="Crystal Clear Discount"/>
        <s v="Heisenberg'S Deals"/>
        <s v="Mt Lab Mania"/>
        <s v="Walter Promo"/>
        <m/>
      </sharedItems>
    </cacheField>
    <cacheField name="Location" numFmtId="0">
      <sharedItems containsBlank="1" count="6">
        <s v="Car Wash Forums"/>
        <s v="Email Campaigns"/>
        <s v="Fan Forums"/>
        <s v="Fast Food Sites"/>
        <s v="Streaming Service"/>
        <m/>
      </sharedItems>
    </cacheField>
    <cacheField name="Impressions" numFmtId="0">
      <sharedItems containsString="0" containsBlank="1" containsNumber="1" containsInteger="1" minValue="2004" maxValue="6994"/>
    </cacheField>
    <cacheField name="Clicks" numFmtId="0">
      <sharedItems containsString="0" containsBlank="1" containsNumber="1" containsInteger="1" minValue="105" maxValue="895"/>
    </cacheField>
    <cacheField name="Units Sold" numFmtId="0">
      <sharedItems containsString="0" containsBlank="1" containsNumber="1" containsInteger="1" minValue="2" maxValue="414"/>
    </cacheField>
    <cacheField name="Conversion Rate" numFmtId="0">
      <sharedItems containsString="0" containsBlank="1" containsNumber="1" minValue="4.2918454935622317E-3" maxValue="0.99401197604790414"/>
    </cacheField>
  </cacheFields>
  <extLst>
    <ext xmlns:x14="http://schemas.microsoft.com/office/spreadsheetml/2009/9/main" uri="{725AE2AE-9491-48be-B2B4-4EB974FC3084}">
      <x14:pivotCacheDefinition pivotCacheId="16478973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1.559732870373" createdVersion="8" refreshedVersion="8" minRefreshableVersion="3" recordCount="155" xr:uid="{95823864-8D37-4E11-90E9-22FCB37D7479}">
  <cacheSource type="worksheet">
    <worksheetSource ref="A1:F1048576" sheet="Campaign Metrics"/>
  </cacheSource>
  <cacheFields count="8">
    <cacheField name="Date" numFmtId="164">
      <sharedItems containsNonDate="0" containsDate="1" containsString="0" containsBlank="1" minDate="2025-08-01T00:00:00" maxDate="2025-12-29T00:00:00" count="151">
        <d v="2025-09-14T00:00:00"/>
        <d v="2025-10-27T00:00:00"/>
        <d v="2025-12-16T00:00:00"/>
        <d v="2025-10-30T00:00:00"/>
        <d v="2025-12-25T00:00:00"/>
        <d v="2025-09-16T00:00:00"/>
        <d v="2025-08-12T00:00:00"/>
        <d v="2025-09-01T00:00:00"/>
        <d v="2025-10-18T00:00:00"/>
        <d v="2025-08-06T00:00:00"/>
        <d v="2025-10-26T00:00:00"/>
        <d v="2025-11-14T00:00:00"/>
        <d v="2025-12-11T00:00:00"/>
        <d v="2025-12-21T00:00:00"/>
        <d v="2025-09-22T00:00:00"/>
        <d v="2025-09-24T00:00:00"/>
        <d v="2025-09-29T00:00:00"/>
        <d v="2025-12-05T00:00:00"/>
        <d v="2025-08-01T00:00:00"/>
        <d v="2025-09-09T00:00:00"/>
        <d v="2025-11-09T00:00:00"/>
        <d v="2025-12-19T00:00:00"/>
        <d v="2025-12-02T00:00:00"/>
        <d v="2025-09-18T00:00:00"/>
        <d v="2025-12-04T00:00:00"/>
        <d v="2025-08-19T00:00:00"/>
        <d v="2025-10-11T00:00:00"/>
        <d v="2025-10-03T00:00:00"/>
        <d v="2025-08-26T00:00:00"/>
        <d v="2025-09-30T00:00:00"/>
        <d v="2025-11-26T00:00:00"/>
        <d v="2025-12-03T00:00:00"/>
        <d v="2025-08-14T00:00:00"/>
        <d v="2025-09-11T00:00:00"/>
        <d v="2025-11-20T00:00:00"/>
        <d v="2025-09-02T00:00:00"/>
        <d v="2025-09-17T00:00:00"/>
        <d v="2025-12-08T00:00:00"/>
        <d v="2025-08-24T00:00:00"/>
        <d v="2025-09-03T00:00:00"/>
        <d v="2025-11-23T00:00:00"/>
        <d v="2025-08-08T00:00:00"/>
        <d v="2025-09-25T00:00:00"/>
        <d v="2025-10-19T00:00:00"/>
        <d v="2025-10-31T00:00:00"/>
        <d v="2025-11-07T00:00:00"/>
        <d v="2025-12-12T00:00:00"/>
        <d v="2025-10-06T00:00:00"/>
        <d v="2025-10-24T00:00:00"/>
        <d v="2025-11-05T00:00:00"/>
        <d v="2025-08-11T00:00:00"/>
        <d v="2025-10-05T00:00:00"/>
        <d v="2025-09-04T00:00:00"/>
        <d v="2025-10-07T00:00:00"/>
        <d v="2025-11-30T00:00:00"/>
        <d v="2025-09-08T00:00:00"/>
        <d v="2025-11-18T00:00:00"/>
        <d v="2025-09-12T00:00:00"/>
        <d v="2025-11-27T00:00:00"/>
        <d v="2025-10-09T00:00:00"/>
        <d v="2025-12-13T00:00:00"/>
        <d v="2025-09-10T00:00:00"/>
        <d v="2025-08-17T00:00:00"/>
        <d v="2025-08-05T00:00:00"/>
        <d v="2025-08-30T00:00:00"/>
        <d v="2025-10-10T00:00:00"/>
        <d v="2025-12-23T00:00:00"/>
        <d v="2025-08-03T00:00:00"/>
        <d v="2025-08-15T00:00:00"/>
        <d v="2025-08-23T00:00:00"/>
        <d v="2025-09-23T00:00:00"/>
        <d v="2025-10-01T00:00:00"/>
        <d v="2025-08-13T00:00:00"/>
        <d v="2025-10-08T00:00:00"/>
        <d v="2025-10-23T00:00:00"/>
        <d v="2025-08-10T00:00:00"/>
        <d v="2025-09-27T00:00:00"/>
        <d v="2025-10-22T00:00:00"/>
        <d v="2025-11-02T00:00:00"/>
        <d v="2025-10-15T00:00:00"/>
        <d v="2025-09-13T00:00:00"/>
        <d v="2025-10-04T00:00:00"/>
        <d v="2025-10-17T00:00:00"/>
        <d v="2025-12-22T00:00:00"/>
        <d v="2025-11-11T00:00:00"/>
        <d v="2025-12-18T00:00:00"/>
        <d v="2025-10-16T00:00:00"/>
        <d v="2025-10-21T00:00:00"/>
        <d v="2025-11-15T00:00:00"/>
        <d v="2025-12-15T00:00:00"/>
        <d v="2025-10-12T00:00:00"/>
        <d v="2025-12-27T00:00:00"/>
        <d v="2025-09-19T00:00:00"/>
        <d v="2025-12-01T00:00:00"/>
        <d v="2025-10-14T00:00:00"/>
        <d v="2025-11-21T00:00:00"/>
        <d v="2025-09-26T00:00:00"/>
        <d v="2025-09-20T00:00:00"/>
        <d v="2025-08-09T00:00:00"/>
        <d v="2025-08-21T00:00:00"/>
        <d v="2025-09-07T00:00:00"/>
        <d v="2025-10-29T00:00:00"/>
        <d v="2025-11-13T00:00:00"/>
        <d v="2025-11-24T00:00:00"/>
        <d v="2025-11-01T00:00:00"/>
        <d v="2025-08-25T00:00:00"/>
        <d v="2025-08-07T00:00:00"/>
        <d v="2025-10-28T00:00:00"/>
        <d v="2025-11-17T00:00:00"/>
        <d v="2025-08-02T00:00:00"/>
        <d v="2025-12-06T00:00:00"/>
        <d v="2025-12-07T00:00:00"/>
        <d v="2025-12-14T00:00:00"/>
        <d v="2025-09-15T00:00:00"/>
        <d v="2025-12-28T00:00:00"/>
        <d v="2025-11-06T00:00:00"/>
        <d v="2025-11-08T00:00:00"/>
        <d v="2025-10-25T00:00:00"/>
        <d v="2025-11-04T00:00:00"/>
        <d v="2025-08-16T00:00:00"/>
        <d v="2025-11-19T00:00:00"/>
        <d v="2025-08-28T00:00:00"/>
        <d v="2025-11-12T00:00:00"/>
        <d v="2025-09-28T00:00:00"/>
        <d v="2025-11-10T00:00:00"/>
        <d v="2025-08-22T00:00:00"/>
        <d v="2025-11-22T00:00:00"/>
        <d v="2025-11-29T00:00:00"/>
        <d v="2025-08-04T00:00:00"/>
        <d v="2025-08-27T00:00:00"/>
        <d v="2025-09-21T00:00:00"/>
        <d v="2025-12-24T00:00:00"/>
        <d v="2025-10-13T00:00:00"/>
        <d v="2025-11-25T00:00:00"/>
        <d v="2025-12-20T00:00:00"/>
        <d v="2025-08-20T00:00:00"/>
        <d v="2025-09-05T00:00:00"/>
        <d v="2025-11-28T00:00:00"/>
        <d v="2025-12-10T00:00:00"/>
        <d v="2025-12-26T00:00:00"/>
        <d v="2025-12-09T00:00:00"/>
        <d v="2025-08-31T00:00:00"/>
        <d v="2025-10-20T00:00:00"/>
        <d v="2025-11-16T00:00:00"/>
        <d v="2025-12-17T00:00:00"/>
        <d v="2025-11-03T00:00:00"/>
        <d v="2025-10-02T00:00:00"/>
        <d v="2025-08-18T00:00:00"/>
        <d v="2025-08-29T00:00:00"/>
        <d v="2025-09-06T00:00:00"/>
        <m/>
      </sharedItems>
      <fieldGroup par="7"/>
    </cacheField>
    <cacheField name="Campaign Name" numFmtId="0">
      <sharedItems containsBlank="1" count="7">
        <s v="The Pinkman Promotion"/>
        <s v="Blue Sky Special"/>
        <s v="Crystal Clear Discount"/>
        <s v="Heisenberg'S Deals"/>
        <s v="Mt Lab Mania"/>
        <s v="Walter Promo"/>
        <m/>
      </sharedItems>
    </cacheField>
    <cacheField name="Location" numFmtId="0">
      <sharedItems containsBlank="1" count="6">
        <s v="Car Wash Forums"/>
        <s v="Email Campaigns"/>
        <s v="Fan Forums"/>
        <s v="Fast Food Sites"/>
        <s v="Streaming Service"/>
        <m/>
      </sharedItems>
    </cacheField>
    <cacheField name="Impressions" numFmtId="0">
      <sharedItems containsString="0" containsBlank="1" containsNumber="1" containsInteger="1" minValue="2004" maxValue="6994"/>
    </cacheField>
    <cacheField name="Clicks" numFmtId="0">
      <sharedItems containsString="0" containsBlank="1" containsNumber="1" containsInteger="1" minValue="105" maxValue="895"/>
    </cacheField>
    <cacheField name="Units Sold" numFmtId="0">
      <sharedItems containsString="0" containsBlank="1" containsNumber="1" containsInteger="1" minValue="2" maxValue="414"/>
    </cacheField>
    <cacheField name="Days (Date)" numFmtId="0" databaseField="0">
      <fieldGroup base="0">
        <rangePr groupBy="days" startDate="2025-08-01T00:00:00" endDate="2025-12-29T00:00:00"/>
        <groupItems count="368">
          <s v="&lt;8/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5"/>
        </groupItems>
      </fieldGroup>
    </cacheField>
    <cacheField name="Months (Date)" numFmtId="0" databaseField="0">
      <fieldGroup base="0">
        <rangePr groupBy="months" startDate="2025-08-01T00:00:00" endDate="2025-12-29T00:00:00"/>
        <groupItems count="14">
          <s v="&lt;8/1/2025"/>
          <s v="Jan"/>
          <s v="Feb"/>
          <s v="Mar"/>
          <s v="Apr"/>
          <s v="May"/>
          <s v="Jun"/>
          <s v="Jul"/>
          <s v="Aug"/>
          <s v="Sep"/>
          <s v="Oct"/>
          <s v="Nov"/>
          <s v="Dec"/>
          <s v="&gt;12/29/2025"/>
        </groupItems>
      </fieldGroup>
    </cacheField>
  </cacheFields>
  <extLst>
    <ext xmlns:x14="http://schemas.microsoft.com/office/spreadsheetml/2009/9/main" uri="{725AE2AE-9491-48be-B2B4-4EB974FC3084}">
      <x14:pivotCacheDefinition pivotCacheId="1213667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d v="2025-09-14T00:00:00"/>
    <x v="0"/>
    <x v="0"/>
    <n v="5704"/>
    <n v="183"/>
    <m/>
    <m/>
  </r>
  <r>
    <d v="2025-10-27T00:00:00"/>
    <x v="0"/>
    <x v="0"/>
    <n v="3016"/>
    <n v="376"/>
    <m/>
    <m/>
  </r>
  <r>
    <d v="2025-12-16T00:00:00"/>
    <x v="0"/>
    <x v="0"/>
    <n v="5493"/>
    <n v="161"/>
    <n v="102"/>
    <n v="0.63354037267080743"/>
  </r>
  <r>
    <d v="2025-10-30T00:00:00"/>
    <x v="0"/>
    <x v="0"/>
    <n v="4831"/>
    <n v="105"/>
    <m/>
    <m/>
  </r>
  <r>
    <d v="2025-12-25T00:00:00"/>
    <x v="0"/>
    <x v="0"/>
    <n v="4808"/>
    <n v="367"/>
    <n v="50"/>
    <n v="0.13623978201634879"/>
  </r>
  <r>
    <d v="2025-09-16T00:00:00"/>
    <x v="0"/>
    <x v="1"/>
    <n v="2154"/>
    <n v="466"/>
    <n v="2"/>
    <n v="4.2918454935622317E-3"/>
  </r>
  <r>
    <d v="2025-08-12T00:00:00"/>
    <x v="0"/>
    <x v="1"/>
    <n v="4977"/>
    <n v="282"/>
    <n v="64"/>
    <n v="0.22695035460992907"/>
  </r>
  <r>
    <d v="2025-09-01T00:00:00"/>
    <x v="0"/>
    <x v="1"/>
    <n v="6977"/>
    <n v="437"/>
    <n v="27"/>
    <n v="6.1784897025171627E-2"/>
  </r>
  <r>
    <d v="2025-10-18T00:00:00"/>
    <x v="0"/>
    <x v="1"/>
    <n v="5050"/>
    <n v="171"/>
    <n v="123"/>
    <n v="0.7192982456140351"/>
  </r>
  <r>
    <d v="2025-08-06T00:00:00"/>
    <x v="0"/>
    <x v="2"/>
    <n v="3290"/>
    <n v="277"/>
    <n v="51"/>
    <n v="0.18411552346570398"/>
  </r>
  <r>
    <d v="2025-10-26T00:00:00"/>
    <x v="0"/>
    <x v="2"/>
    <n v="6208"/>
    <n v="221"/>
    <n v="153"/>
    <n v="0.69230769230769229"/>
  </r>
  <r>
    <d v="2025-11-14T00:00:00"/>
    <x v="0"/>
    <x v="2"/>
    <n v="6409"/>
    <n v="202"/>
    <n v="178"/>
    <n v="0.88118811881188119"/>
  </r>
  <r>
    <d v="2025-12-11T00:00:00"/>
    <x v="0"/>
    <x v="2"/>
    <n v="6783"/>
    <n v="230"/>
    <n v="45"/>
    <n v="0.19565217391304349"/>
  </r>
  <r>
    <d v="2025-12-21T00:00:00"/>
    <x v="0"/>
    <x v="2"/>
    <n v="4829"/>
    <n v="440"/>
    <n v="98"/>
    <n v="0.22272727272727272"/>
  </r>
  <r>
    <d v="2025-09-22T00:00:00"/>
    <x v="0"/>
    <x v="2"/>
    <n v="3267"/>
    <n v="125"/>
    <n v="80"/>
    <n v="0.64"/>
  </r>
  <r>
    <d v="2025-09-24T00:00:00"/>
    <x v="0"/>
    <x v="2"/>
    <n v="5663"/>
    <n v="447"/>
    <n v="226"/>
    <n v="0.50559284116331094"/>
  </r>
  <r>
    <d v="2025-09-29T00:00:00"/>
    <x v="0"/>
    <x v="3"/>
    <n v="2375"/>
    <n v="317"/>
    <n v="108"/>
    <n v="0.34069400630914826"/>
  </r>
  <r>
    <d v="2025-12-05T00:00:00"/>
    <x v="0"/>
    <x v="3"/>
    <n v="4900"/>
    <n v="452"/>
    <n v="381"/>
    <n v="0.84292035398230092"/>
  </r>
  <r>
    <d v="2025-08-01T00:00:00"/>
    <x v="0"/>
    <x v="3"/>
    <n v="2363"/>
    <n v="246"/>
    <n v="24"/>
    <n v="9.7560975609756101E-2"/>
  </r>
  <r>
    <d v="2025-09-09T00:00:00"/>
    <x v="0"/>
    <x v="4"/>
    <n v="3635"/>
    <n v="493"/>
    <n v="197"/>
    <n v="0.39959432048681542"/>
  </r>
  <r>
    <d v="2025-11-09T00:00:00"/>
    <x v="0"/>
    <x v="4"/>
    <n v="3784"/>
    <n v="424"/>
    <n v="248"/>
    <n v="0.58490566037735847"/>
  </r>
  <r>
    <d v="2025-12-19T00:00:00"/>
    <x v="0"/>
    <x v="4"/>
    <n v="2905"/>
    <n v="268"/>
    <n v="98"/>
    <n v="0.36567164179104478"/>
  </r>
  <r>
    <d v="2025-12-02T00:00:00"/>
    <x v="0"/>
    <x v="4"/>
    <n v="6904"/>
    <n v="107"/>
    <n v="37"/>
    <n v="0.34579439252336447"/>
  </r>
  <r>
    <d v="2025-09-18T00:00:00"/>
    <x v="0"/>
    <x v="4"/>
    <n v="2004"/>
    <n v="204"/>
    <n v="112"/>
    <n v="0.5490196078431373"/>
  </r>
  <r>
    <d v="2025-12-04T00:00:00"/>
    <x v="0"/>
    <x v="4"/>
    <n v="2987"/>
    <n v="355"/>
    <n v="300"/>
    <n v="0.84507042253521125"/>
  </r>
  <r>
    <d v="2025-08-19T00:00:00"/>
    <x v="1"/>
    <x v="0"/>
    <n v="4427"/>
    <n v="410"/>
    <n v="382"/>
    <n v="0.93170731707317078"/>
  </r>
  <r>
    <d v="2025-10-11T00:00:00"/>
    <x v="1"/>
    <x v="0"/>
    <n v="6194"/>
    <n v="377"/>
    <n v="308"/>
    <n v="0.81697612732095493"/>
  </r>
  <r>
    <d v="2025-10-03T00:00:00"/>
    <x v="1"/>
    <x v="1"/>
    <n v="4610"/>
    <n v="344"/>
    <n v="332"/>
    <n v="0.96511627906976749"/>
  </r>
  <r>
    <d v="2025-08-26T00:00:00"/>
    <x v="1"/>
    <x v="1"/>
    <n v="6994"/>
    <n v="413"/>
    <n v="6"/>
    <n v="1.4527845036319613E-2"/>
  </r>
  <r>
    <d v="2025-09-30T00:00:00"/>
    <x v="1"/>
    <x v="1"/>
    <n v="4469"/>
    <n v="283"/>
    <n v="7"/>
    <n v="2.4734982332155476E-2"/>
  </r>
  <r>
    <d v="2025-11-26T00:00:00"/>
    <x v="1"/>
    <x v="1"/>
    <n v="2734"/>
    <n v="467"/>
    <n v="274"/>
    <n v="0.58672376873661669"/>
  </r>
  <r>
    <d v="2025-12-03T00:00:00"/>
    <x v="1"/>
    <x v="1"/>
    <n v="2912"/>
    <n v="213"/>
    <n v="32"/>
    <n v="0.15023474178403756"/>
  </r>
  <r>
    <d v="2025-08-14T00:00:00"/>
    <x v="1"/>
    <x v="1"/>
    <n v="6924"/>
    <n v="122"/>
    <n v="18"/>
    <n v="0.14754098360655737"/>
  </r>
  <r>
    <d v="2025-09-11T00:00:00"/>
    <x v="1"/>
    <x v="1"/>
    <n v="2211"/>
    <n v="257"/>
    <n v="13"/>
    <n v="5.0583657587548639E-2"/>
  </r>
  <r>
    <d v="2025-11-20T00:00:00"/>
    <x v="1"/>
    <x v="1"/>
    <n v="2546"/>
    <n v="403"/>
    <n v="237"/>
    <n v="0.58808933002481389"/>
  </r>
  <r>
    <d v="2025-09-02T00:00:00"/>
    <x v="1"/>
    <x v="1"/>
    <n v="3199"/>
    <n v="164"/>
    <n v="32"/>
    <n v="0.1951219512195122"/>
  </r>
  <r>
    <d v="2025-09-17T00:00:00"/>
    <x v="1"/>
    <x v="2"/>
    <n v="2404"/>
    <n v="805"/>
    <n v="58"/>
    <n v="7.2049689440993783E-2"/>
  </r>
  <r>
    <d v="2025-12-08T00:00:00"/>
    <x v="1"/>
    <x v="2"/>
    <n v="5843"/>
    <n v="824"/>
    <n v="78"/>
    <n v="9.4660194174757281E-2"/>
  </r>
  <r>
    <d v="2025-08-24T00:00:00"/>
    <x v="1"/>
    <x v="2"/>
    <n v="6839"/>
    <n v="235"/>
    <n v="171"/>
    <n v="0.72765957446808516"/>
  </r>
  <r>
    <d v="2025-09-03T00:00:00"/>
    <x v="1"/>
    <x v="2"/>
    <n v="5104"/>
    <n v="183"/>
    <n v="61"/>
    <n v="0.33333333333333331"/>
  </r>
  <r>
    <d v="2025-11-23T00:00:00"/>
    <x v="1"/>
    <x v="2"/>
    <n v="3689"/>
    <n v="316"/>
    <n v="24"/>
    <n v="7.5949367088607597E-2"/>
  </r>
  <r>
    <d v="2025-08-08T00:00:00"/>
    <x v="1"/>
    <x v="2"/>
    <n v="2402"/>
    <n v="123"/>
    <n v="12"/>
    <n v="9.7560975609756101E-2"/>
  </r>
  <r>
    <d v="2025-09-25T00:00:00"/>
    <x v="1"/>
    <x v="2"/>
    <n v="4300"/>
    <n v="239"/>
    <n v="79"/>
    <n v="0.33054393305439328"/>
  </r>
  <r>
    <d v="2025-10-19T00:00:00"/>
    <x v="1"/>
    <x v="3"/>
    <n v="4928"/>
    <n v="410"/>
    <n v="82"/>
    <n v="0.2"/>
  </r>
  <r>
    <d v="2025-10-31T00:00:00"/>
    <x v="1"/>
    <x v="3"/>
    <n v="2010"/>
    <n v="394"/>
    <n v="145"/>
    <n v="0.36802030456852791"/>
  </r>
  <r>
    <d v="2025-11-07T00:00:00"/>
    <x v="1"/>
    <x v="3"/>
    <n v="6377"/>
    <n v="210"/>
    <n v="127"/>
    <n v="0.60476190476190472"/>
  </r>
  <r>
    <d v="2025-12-12T00:00:00"/>
    <x v="1"/>
    <x v="3"/>
    <n v="3182"/>
    <n v="306"/>
    <n v="105"/>
    <n v="0.34313725490196079"/>
  </r>
  <r>
    <d v="2025-10-06T00:00:00"/>
    <x v="1"/>
    <x v="3"/>
    <n v="4326"/>
    <n v="433"/>
    <n v="355"/>
    <n v="0.81986143187066973"/>
  </r>
  <r>
    <d v="2025-10-24T00:00:00"/>
    <x v="1"/>
    <x v="3"/>
    <n v="3947"/>
    <n v="498"/>
    <n v="87"/>
    <n v="0.1746987951807229"/>
  </r>
  <r>
    <d v="2025-11-05T00:00:00"/>
    <x v="1"/>
    <x v="3"/>
    <n v="4921"/>
    <n v="410"/>
    <n v="314"/>
    <n v="0.76585365853658538"/>
  </r>
  <r>
    <d v="2025-08-11T00:00:00"/>
    <x v="1"/>
    <x v="3"/>
    <n v="5585"/>
    <n v="326"/>
    <n v="24"/>
    <n v="7.3619631901840496E-2"/>
  </r>
  <r>
    <d v="2025-10-05T00:00:00"/>
    <x v="1"/>
    <x v="3"/>
    <n v="4375"/>
    <n v="376"/>
    <n v="78"/>
    <n v="0.20744680851063829"/>
  </r>
  <r>
    <d v="2025-09-04T00:00:00"/>
    <x v="1"/>
    <x v="3"/>
    <n v="6700"/>
    <n v="172"/>
    <n v="136"/>
    <n v="0.79069767441860461"/>
  </r>
  <r>
    <d v="2025-10-07T00:00:00"/>
    <x v="1"/>
    <x v="4"/>
    <n v="4556"/>
    <n v="107"/>
    <n v="20"/>
    <n v="0.18691588785046728"/>
  </r>
  <r>
    <d v="2025-11-30T00:00:00"/>
    <x v="1"/>
    <x v="4"/>
    <n v="6673"/>
    <n v="136"/>
    <n v="133"/>
    <n v="0.9779411764705882"/>
  </r>
  <r>
    <d v="2025-09-08T00:00:00"/>
    <x v="1"/>
    <x v="4"/>
    <n v="6750"/>
    <n v="259"/>
    <n v="231"/>
    <n v="0.89189189189189189"/>
  </r>
  <r>
    <d v="2025-11-18T00:00:00"/>
    <x v="1"/>
    <x v="4"/>
    <n v="3384"/>
    <n v="478"/>
    <n v="112"/>
    <n v="0.23430962343096234"/>
  </r>
  <r>
    <d v="2025-09-12T00:00:00"/>
    <x v="2"/>
    <x v="0"/>
    <n v="6047"/>
    <n v="336"/>
    <n v="204"/>
    <n v="0.6071428571428571"/>
  </r>
  <r>
    <d v="2025-11-27T00:00:00"/>
    <x v="2"/>
    <x v="0"/>
    <n v="4252"/>
    <n v="462"/>
    <n v="410"/>
    <n v="0.88744588744588748"/>
  </r>
  <r>
    <d v="2025-10-09T00:00:00"/>
    <x v="2"/>
    <x v="1"/>
    <n v="5425"/>
    <n v="313"/>
    <n v="290"/>
    <n v="0.92651757188498407"/>
  </r>
  <r>
    <d v="2025-12-13T00:00:00"/>
    <x v="2"/>
    <x v="1"/>
    <n v="2275"/>
    <n v="352"/>
    <n v="114"/>
    <n v="0.32386363636363635"/>
  </r>
  <r>
    <d v="2025-09-10T00:00:00"/>
    <x v="2"/>
    <x v="1"/>
    <n v="6538"/>
    <n v="341"/>
    <n v="53"/>
    <n v="0.15542521994134897"/>
  </r>
  <r>
    <d v="2025-08-17T00:00:00"/>
    <x v="2"/>
    <x v="1"/>
    <n v="6839"/>
    <n v="258"/>
    <n v="22"/>
    <n v="8.5271317829457363E-2"/>
  </r>
  <r>
    <d v="2025-08-05T00:00:00"/>
    <x v="2"/>
    <x v="2"/>
    <n v="6688"/>
    <n v="191"/>
    <n v="180"/>
    <n v="0.94240837696335078"/>
  </r>
  <r>
    <d v="2025-08-30T00:00:00"/>
    <x v="2"/>
    <x v="2"/>
    <n v="6849"/>
    <n v="465"/>
    <n v="46"/>
    <n v="9.8924731182795697E-2"/>
  </r>
  <r>
    <d v="2025-10-10T00:00:00"/>
    <x v="2"/>
    <x v="2"/>
    <n v="5860"/>
    <n v="387"/>
    <n v="18"/>
    <n v="4.6511627906976744E-2"/>
  </r>
  <r>
    <d v="2025-12-23T00:00:00"/>
    <x v="2"/>
    <x v="2"/>
    <n v="3417"/>
    <n v="108"/>
    <n v="28"/>
    <n v="0.25925925925925924"/>
  </r>
  <r>
    <d v="2025-08-03T00:00:00"/>
    <x v="2"/>
    <x v="2"/>
    <n v="2090"/>
    <n v="285"/>
    <n v="197"/>
    <n v="0.69122807017543864"/>
  </r>
  <r>
    <d v="2025-08-15T00:00:00"/>
    <x v="2"/>
    <x v="2"/>
    <n v="2473"/>
    <n v="360"/>
    <n v="105"/>
    <n v="0.29166666666666669"/>
  </r>
  <r>
    <d v="2025-08-23T00:00:00"/>
    <x v="2"/>
    <x v="2"/>
    <n v="6563"/>
    <n v="456"/>
    <n v="273"/>
    <n v="0.59868421052631582"/>
  </r>
  <r>
    <d v="2025-09-23T00:00:00"/>
    <x v="2"/>
    <x v="2"/>
    <n v="4330"/>
    <n v="199"/>
    <n v="118"/>
    <n v="0.59296482412060303"/>
  </r>
  <r>
    <d v="2025-10-01T00:00:00"/>
    <x v="2"/>
    <x v="2"/>
    <n v="6449"/>
    <n v="193"/>
    <n v="162"/>
    <n v="0.8393782383419689"/>
  </r>
  <r>
    <d v="2025-08-13T00:00:00"/>
    <x v="2"/>
    <x v="2"/>
    <n v="3900"/>
    <n v="322"/>
    <n v="85"/>
    <n v="0.2639751552795031"/>
  </r>
  <r>
    <d v="2025-10-08T00:00:00"/>
    <x v="2"/>
    <x v="2"/>
    <n v="4437"/>
    <n v="106"/>
    <n v="11"/>
    <n v="0.10377358490566038"/>
  </r>
  <r>
    <d v="2025-10-23T00:00:00"/>
    <x v="2"/>
    <x v="2"/>
    <n v="5172"/>
    <n v="260"/>
    <n v="53"/>
    <n v="0.20384615384615384"/>
  </r>
  <r>
    <d v="2025-08-10T00:00:00"/>
    <x v="2"/>
    <x v="3"/>
    <n v="6326"/>
    <n v="258"/>
    <n v="253"/>
    <n v="0.98062015503875966"/>
  </r>
  <r>
    <d v="2025-09-27T00:00:00"/>
    <x v="2"/>
    <x v="3"/>
    <n v="6624"/>
    <n v="253"/>
    <n v="151"/>
    <n v="0.59683794466403162"/>
  </r>
  <r>
    <d v="2025-10-22T00:00:00"/>
    <x v="2"/>
    <x v="3"/>
    <n v="2212"/>
    <n v="479"/>
    <n v="199"/>
    <n v="0.41544885177453028"/>
  </r>
  <r>
    <d v="2025-11-02T00:00:00"/>
    <x v="2"/>
    <x v="3"/>
    <n v="4311"/>
    <n v="239"/>
    <n v="136"/>
    <n v="0.56903765690376573"/>
  </r>
  <r>
    <d v="2025-10-15T00:00:00"/>
    <x v="2"/>
    <x v="3"/>
    <n v="4322"/>
    <n v="404"/>
    <n v="381"/>
    <n v="0.94306930693069302"/>
  </r>
  <r>
    <d v="2025-09-13T00:00:00"/>
    <x v="2"/>
    <x v="3"/>
    <n v="5296"/>
    <n v="380"/>
    <n v="360"/>
    <n v="0.94736842105263153"/>
  </r>
  <r>
    <d v="2025-10-04T00:00:00"/>
    <x v="2"/>
    <x v="3"/>
    <n v="6151"/>
    <n v="384"/>
    <n v="265"/>
    <n v="0.69010416666666663"/>
  </r>
  <r>
    <d v="2025-10-17T00:00:00"/>
    <x v="2"/>
    <x v="3"/>
    <n v="3598"/>
    <n v="148"/>
    <n v="45"/>
    <n v="0.30405405405405406"/>
  </r>
  <r>
    <d v="2025-12-22T00:00:00"/>
    <x v="2"/>
    <x v="3"/>
    <n v="4935"/>
    <n v="205"/>
    <n v="45"/>
    <n v="0.21951219512195122"/>
  </r>
  <r>
    <d v="2025-11-11T00:00:00"/>
    <x v="2"/>
    <x v="3"/>
    <n v="3250"/>
    <n v="274"/>
    <n v="20"/>
    <n v="7.2992700729927001E-2"/>
  </r>
  <r>
    <d v="2025-12-18T00:00:00"/>
    <x v="2"/>
    <x v="3"/>
    <n v="5399"/>
    <n v="256"/>
    <n v="134"/>
    <n v="0.5234375"/>
  </r>
  <r>
    <d v="2025-10-16T00:00:00"/>
    <x v="2"/>
    <x v="4"/>
    <n v="3974"/>
    <n v="210"/>
    <n v="118"/>
    <n v="0.56190476190476191"/>
  </r>
  <r>
    <d v="2025-10-21T00:00:00"/>
    <x v="2"/>
    <x v="4"/>
    <n v="6693"/>
    <n v="336"/>
    <n v="25"/>
    <n v="7.4404761904761904E-2"/>
  </r>
  <r>
    <d v="2025-11-15T00:00:00"/>
    <x v="2"/>
    <x v="4"/>
    <n v="3181"/>
    <n v="171"/>
    <n v="125"/>
    <n v="0.73099415204678364"/>
  </r>
  <r>
    <d v="2025-12-15T00:00:00"/>
    <x v="3"/>
    <x v="0"/>
    <n v="4606"/>
    <n v="297"/>
    <n v="287"/>
    <n v="0.96632996632996637"/>
  </r>
  <r>
    <d v="2025-10-12T00:00:00"/>
    <x v="3"/>
    <x v="1"/>
    <n v="4885"/>
    <n v="371"/>
    <n v="144"/>
    <n v="0.38814016172506738"/>
  </r>
  <r>
    <d v="2025-12-27T00:00:00"/>
    <x v="3"/>
    <x v="1"/>
    <n v="3439"/>
    <n v="347"/>
    <n v="86"/>
    <n v="0.2478386167146974"/>
  </r>
  <r>
    <d v="2025-09-19T00:00:00"/>
    <x v="3"/>
    <x v="1"/>
    <n v="4802"/>
    <n v="440"/>
    <n v="4"/>
    <n v="9.0909090909090905E-3"/>
  </r>
  <r>
    <d v="2025-12-01T00:00:00"/>
    <x v="3"/>
    <x v="1"/>
    <n v="6201"/>
    <n v="130"/>
    <n v="9"/>
    <n v="6.9230769230769235E-2"/>
  </r>
  <r>
    <d v="2025-10-14T00:00:00"/>
    <x v="3"/>
    <x v="1"/>
    <n v="6429"/>
    <n v="388"/>
    <n v="240"/>
    <n v="0.61855670103092786"/>
  </r>
  <r>
    <d v="2025-11-21T00:00:00"/>
    <x v="3"/>
    <x v="1"/>
    <n v="3796"/>
    <n v="386"/>
    <n v="244"/>
    <n v="0.63212435233160624"/>
  </r>
  <r>
    <d v="2025-09-26T00:00:00"/>
    <x v="3"/>
    <x v="2"/>
    <n v="2913"/>
    <n v="856"/>
    <n v="96"/>
    <n v="0.11214953271028037"/>
  </r>
  <r>
    <d v="2025-09-20T00:00:00"/>
    <x v="3"/>
    <x v="2"/>
    <n v="5347"/>
    <n v="334"/>
    <n v="332"/>
    <n v="0.99401197604790414"/>
  </r>
  <r>
    <d v="2025-08-09T00:00:00"/>
    <x v="3"/>
    <x v="2"/>
    <n v="2555"/>
    <n v="417"/>
    <n v="96"/>
    <n v="0.23021582733812951"/>
  </r>
  <r>
    <d v="2025-08-21T00:00:00"/>
    <x v="3"/>
    <x v="2"/>
    <n v="5381"/>
    <n v="188"/>
    <n v="73"/>
    <n v="0.38829787234042551"/>
  </r>
  <r>
    <d v="2025-09-07T00:00:00"/>
    <x v="3"/>
    <x v="3"/>
    <n v="4160"/>
    <n v="243"/>
    <n v="27"/>
    <n v="0.1111111111111111"/>
  </r>
  <r>
    <d v="2025-10-29T00:00:00"/>
    <x v="3"/>
    <x v="3"/>
    <n v="6401"/>
    <n v="311"/>
    <n v="223"/>
    <n v="0.71704180064308687"/>
  </r>
  <r>
    <d v="2025-11-13T00:00:00"/>
    <x v="3"/>
    <x v="3"/>
    <n v="2072"/>
    <n v="226"/>
    <n v="180"/>
    <n v="0.79646017699115046"/>
  </r>
  <r>
    <d v="2025-11-24T00:00:00"/>
    <x v="3"/>
    <x v="3"/>
    <n v="3518"/>
    <n v="426"/>
    <n v="86"/>
    <n v="0.20187793427230047"/>
  </r>
  <r>
    <d v="2025-11-01T00:00:00"/>
    <x v="3"/>
    <x v="3"/>
    <n v="4763"/>
    <n v="107"/>
    <n v="44"/>
    <n v="0.41121495327102803"/>
  </r>
  <r>
    <d v="2025-08-25T00:00:00"/>
    <x v="3"/>
    <x v="3"/>
    <n v="5269"/>
    <n v="115"/>
    <n v="37"/>
    <n v="0.32173913043478258"/>
  </r>
  <r>
    <d v="2025-08-07T00:00:00"/>
    <x v="3"/>
    <x v="3"/>
    <n v="6305"/>
    <n v="380"/>
    <n v="76"/>
    <n v="0.2"/>
  </r>
  <r>
    <d v="2025-10-28T00:00:00"/>
    <x v="3"/>
    <x v="4"/>
    <n v="2078"/>
    <n v="223"/>
    <n v="194"/>
    <n v="0.8699551569506726"/>
  </r>
  <r>
    <d v="2025-11-17T00:00:00"/>
    <x v="3"/>
    <x v="4"/>
    <n v="6015"/>
    <n v="109"/>
    <n v="92"/>
    <n v="0.84403669724770647"/>
  </r>
  <r>
    <d v="2025-08-02T00:00:00"/>
    <x v="3"/>
    <x v="4"/>
    <n v="2184"/>
    <n v="474"/>
    <n v="182"/>
    <n v="0.38396624472573837"/>
  </r>
  <r>
    <d v="2025-12-06T00:00:00"/>
    <x v="3"/>
    <x v="4"/>
    <n v="2021"/>
    <n v="362"/>
    <n v="235"/>
    <n v="0.649171270718232"/>
  </r>
  <r>
    <d v="2025-12-07T00:00:00"/>
    <x v="3"/>
    <x v="4"/>
    <n v="5396"/>
    <n v="332"/>
    <n v="102"/>
    <n v="0.30722891566265059"/>
  </r>
  <r>
    <d v="2025-12-14T00:00:00"/>
    <x v="3"/>
    <x v="4"/>
    <n v="6551"/>
    <n v="284"/>
    <n v="194"/>
    <n v="0.68309859154929575"/>
  </r>
  <r>
    <d v="2025-09-15T00:00:00"/>
    <x v="3"/>
    <x v="4"/>
    <n v="3973"/>
    <n v="194"/>
    <n v="71"/>
    <n v="0.36597938144329895"/>
  </r>
  <r>
    <d v="2025-12-28T00:00:00"/>
    <x v="3"/>
    <x v="4"/>
    <n v="3685"/>
    <n v="359"/>
    <n v="205"/>
    <n v="0.57103064066852371"/>
  </r>
  <r>
    <d v="2025-11-06T00:00:00"/>
    <x v="4"/>
    <x v="0"/>
    <n v="3519"/>
    <n v="315"/>
    <n v="301"/>
    <n v="0.9555555555555556"/>
  </r>
  <r>
    <d v="2025-11-08T00:00:00"/>
    <x v="4"/>
    <x v="0"/>
    <n v="3917"/>
    <n v="188"/>
    <n v="128"/>
    <n v="0.68085106382978722"/>
  </r>
  <r>
    <d v="2025-10-25T00:00:00"/>
    <x v="4"/>
    <x v="1"/>
    <n v="4830"/>
    <n v="436"/>
    <n v="57"/>
    <n v="0.13073394495412843"/>
  </r>
  <r>
    <d v="2025-11-04T00:00:00"/>
    <x v="4"/>
    <x v="1"/>
    <n v="2224"/>
    <n v="453"/>
    <n v="347"/>
    <n v="0.76600441501103755"/>
  </r>
  <r>
    <d v="2025-08-16T00:00:00"/>
    <x v="4"/>
    <x v="1"/>
    <n v="2637"/>
    <n v="333"/>
    <n v="5"/>
    <n v="1.5015015015015015E-2"/>
  </r>
  <r>
    <d v="2025-11-19T00:00:00"/>
    <x v="4"/>
    <x v="1"/>
    <n v="5854"/>
    <n v="441"/>
    <n v="278"/>
    <n v="0.63038548752834467"/>
  </r>
  <r>
    <d v="2025-08-28T00:00:00"/>
    <x v="4"/>
    <x v="1"/>
    <n v="3395"/>
    <n v="315"/>
    <n v="108"/>
    <n v="0.34285714285714286"/>
  </r>
  <r>
    <d v="2025-11-12T00:00:00"/>
    <x v="4"/>
    <x v="1"/>
    <n v="2363"/>
    <n v="405"/>
    <n v="386"/>
    <n v="0.95308641975308639"/>
  </r>
  <r>
    <d v="2025-09-28T00:00:00"/>
    <x v="4"/>
    <x v="2"/>
    <n v="6812"/>
    <n v="869"/>
    <n v="95"/>
    <n v="0.1093210586881473"/>
  </r>
  <r>
    <d v="2025-11-10T00:00:00"/>
    <x v="4"/>
    <x v="2"/>
    <n v="3904"/>
    <n v="895"/>
    <n v="96"/>
    <n v="0.10726256983240223"/>
  </r>
  <r>
    <d v="2025-08-22T00:00:00"/>
    <x v="4"/>
    <x v="2"/>
    <n v="3025"/>
    <n v="216"/>
    <n v="78"/>
    <n v="0.3611111111111111"/>
  </r>
  <r>
    <d v="2025-11-22T00:00:00"/>
    <x v="4"/>
    <x v="2"/>
    <n v="3037"/>
    <n v="145"/>
    <n v="134"/>
    <n v="0.92413793103448272"/>
  </r>
  <r>
    <d v="2025-11-29T00:00:00"/>
    <x v="4"/>
    <x v="2"/>
    <n v="5641"/>
    <n v="254"/>
    <n v="230"/>
    <n v="0.90551181102362199"/>
  </r>
  <r>
    <d v="2025-08-04T00:00:00"/>
    <x v="4"/>
    <x v="2"/>
    <n v="6475"/>
    <n v="310"/>
    <n v="98"/>
    <n v="0.31612903225806449"/>
  </r>
  <r>
    <d v="2025-08-27T00:00:00"/>
    <x v="4"/>
    <x v="2"/>
    <n v="6861"/>
    <n v="306"/>
    <n v="157"/>
    <n v="0.51307189542483655"/>
  </r>
  <r>
    <d v="2025-09-21T00:00:00"/>
    <x v="4"/>
    <x v="2"/>
    <n v="2654"/>
    <n v="297"/>
    <n v="146"/>
    <n v="0.49158249158249157"/>
  </r>
  <r>
    <d v="2025-12-24T00:00:00"/>
    <x v="4"/>
    <x v="2"/>
    <n v="2223"/>
    <n v="409"/>
    <n v="258"/>
    <n v="0.63080684596577019"/>
  </r>
  <r>
    <d v="2025-10-13T00:00:00"/>
    <x v="4"/>
    <x v="2"/>
    <n v="5008"/>
    <n v="330"/>
    <n v="35"/>
    <n v="0.10606060606060606"/>
  </r>
  <r>
    <d v="2025-11-25T00:00:00"/>
    <x v="4"/>
    <x v="2"/>
    <n v="6372"/>
    <n v="258"/>
    <n v="186"/>
    <n v="0.72093023255813948"/>
  </r>
  <r>
    <d v="2025-12-20T00:00:00"/>
    <x v="4"/>
    <x v="2"/>
    <n v="6081"/>
    <n v="461"/>
    <n v="367"/>
    <n v="0.79609544468546634"/>
  </r>
  <r>
    <d v="2025-08-20T00:00:00"/>
    <x v="4"/>
    <x v="3"/>
    <n v="6661"/>
    <n v="160"/>
    <n v="83"/>
    <n v="0.51875000000000004"/>
  </r>
  <r>
    <d v="2025-09-05T00:00:00"/>
    <x v="4"/>
    <x v="3"/>
    <n v="2916"/>
    <n v="195"/>
    <n v="113"/>
    <n v="0.57948717948717954"/>
  </r>
  <r>
    <d v="2025-11-28T00:00:00"/>
    <x v="4"/>
    <x v="3"/>
    <n v="6137"/>
    <n v="414"/>
    <n v="309"/>
    <n v="0.74637681159420288"/>
  </r>
  <r>
    <d v="2025-12-10T00:00:00"/>
    <x v="4"/>
    <x v="3"/>
    <n v="3145"/>
    <n v="263"/>
    <n v="186"/>
    <n v="0.70722433460076051"/>
  </r>
  <r>
    <d v="2025-12-26T00:00:00"/>
    <x v="4"/>
    <x v="3"/>
    <n v="4057"/>
    <n v="362"/>
    <n v="288"/>
    <n v="0.79558011049723754"/>
  </r>
  <r>
    <d v="2025-12-09T00:00:00"/>
    <x v="4"/>
    <x v="3"/>
    <n v="4708"/>
    <n v="276"/>
    <n v="22"/>
    <n v="7.9710144927536225E-2"/>
  </r>
  <r>
    <d v="2025-08-31T00:00:00"/>
    <x v="4"/>
    <x v="3"/>
    <n v="3181"/>
    <n v="339"/>
    <n v="49"/>
    <n v="0.14454277286135694"/>
  </r>
  <r>
    <d v="2025-10-20T00:00:00"/>
    <x v="4"/>
    <x v="3"/>
    <n v="5345"/>
    <n v="480"/>
    <n v="414"/>
    <n v="0.86250000000000004"/>
  </r>
  <r>
    <d v="2025-11-16T00:00:00"/>
    <x v="4"/>
    <x v="3"/>
    <n v="3188"/>
    <n v="300"/>
    <n v="36"/>
    <n v="0.12"/>
  </r>
  <r>
    <d v="2025-12-17T00:00:00"/>
    <x v="4"/>
    <x v="3"/>
    <n v="2543"/>
    <n v="339"/>
    <n v="33"/>
    <n v="9.7345132743362831E-2"/>
  </r>
  <r>
    <d v="2025-11-03T00:00:00"/>
    <x v="4"/>
    <x v="3"/>
    <n v="4674"/>
    <n v="162"/>
    <n v="157"/>
    <n v="0.96913580246913578"/>
  </r>
  <r>
    <d v="2025-10-02T00:00:00"/>
    <x v="4"/>
    <x v="3"/>
    <n v="3010"/>
    <n v="184"/>
    <n v="54"/>
    <n v="0.29347826086956524"/>
  </r>
  <r>
    <d v="2025-08-18T00:00:00"/>
    <x v="4"/>
    <x v="4"/>
    <n v="5476"/>
    <n v="221"/>
    <n v="44"/>
    <n v="0.19909502262443438"/>
  </r>
  <r>
    <d v="2025-08-29T00:00:00"/>
    <x v="4"/>
    <x v="4"/>
    <n v="3777"/>
    <n v="451"/>
    <n v="227"/>
    <n v="0.50332594235033257"/>
  </r>
  <r>
    <d v="2025-09-06T00:00:00"/>
    <x v="4"/>
    <x v="4"/>
    <n v="2089"/>
    <n v="381"/>
    <n v="224"/>
    <n v="0.5879265091863517"/>
  </r>
  <r>
    <d v="2025-11-06T00:00:00"/>
    <x v="5"/>
    <x v="0"/>
    <n v="3519"/>
    <n v="315"/>
    <n v="301"/>
    <n v="0.9555555555555556"/>
  </r>
  <r>
    <d v="2025-11-08T00:00:00"/>
    <x v="5"/>
    <x v="0"/>
    <n v="3917"/>
    <n v="188"/>
    <n v="128"/>
    <n v="0.68085106382978722"/>
  </r>
  <r>
    <d v="2025-10-25T00:00:00"/>
    <x v="5"/>
    <x v="1"/>
    <n v="4830"/>
    <n v="436"/>
    <n v="57"/>
    <n v="0.13073394495412843"/>
  </r>
  <r>
    <d v="2025-11-04T00:00:00"/>
    <x v="5"/>
    <x v="1"/>
    <n v="2224"/>
    <n v="453"/>
    <n v="347"/>
    <n v="0.76600441501103755"/>
  </r>
  <r>
    <m/>
    <x v="6"/>
    <x v="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n v="5704"/>
    <n v="183"/>
    <m/>
  </r>
  <r>
    <x v="1"/>
    <x v="0"/>
    <x v="0"/>
    <n v="3016"/>
    <n v="376"/>
    <m/>
  </r>
  <r>
    <x v="2"/>
    <x v="0"/>
    <x v="0"/>
    <n v="5493"/>
    <n v="161"/>
    <n v="102"/>
  </r>
  <r>
    <x v="3"/>
    <x v="0"/>
    <x v="0"/>
    <n v="4831"/>
    <n v="105"/>
    <m/>
  </r>
  <r>
    <x v="4"/>
    <x v="0"/>
    <x v="0"/>
    <n v="4808"/>
    <n v="367"/>
    <n v="50"/>
  </r>
  <r>
    <x v="5"/>
    <x v="0"/>
    <x v="1"/>
    <n v="2154"/>
    <n v="466"/>
    <n v="2"/>
  </r>
  <r>
    <x v="6"/>
    <x v="0"/>
    <x v="1"/>
    <n v="4977"/>
    <n v="282"/>
    <n v="64"/>
  </r>
  <r>
    <x v="7"/>
    <x v="0"/>
    <x v="1"/>
    <n v="6977"/>
    <n v="437"/>
    <n v="27"/>
  </r>
  <r>
    <x v="8"/>
    <x v="0"/>
    <x v="1"/>
    <n v="5050"/>
    <n v="171"/>
    <n v="123"/>
  </r>
  <r>
    <x v="9"/>
    <x v="0"/>
    <x v="2"/>
    <n v="3290"/>
    <n v="277"/>
    <n v="51"/>
  </r>
  <r>
    <x v="10"/>
    <x v="0"/>
    <x v="2"/>
    <n v="6208"/>
    <n v="221"/>
    <n v="153"/>
  </r>
  <r>
    <x v="11"/>
    <x v="0"/>
    <x v="2"/>
    <n v="6409"/>
    <n v="202"/>
    <n v="178"/>
  </r>
  <r>
    <x v="12"/>
    <x v="0"/>
    <x v="2"/>
    <n v="6783"/>
    <n v="230"/>
    <n v="45"/>
  </r>
  <r>
    <x v="13"/>
    <x v="0"/>
    <x v="2"/>
    <n v="4829"/>
    <n v="440"/>
    <n v="98"/>
  </r>
  <r>
    <x v="14"/>
    <x v="0"/>
    <x v="2"/>
    <n v="3267"/>
    <n v="125"/>
    <n v="80"/>
  </r>
  <r>
    <x v="15"/>
    <x v="0"/>
    <x v="2"/>
    <n v="5663"/>
    <n v="447"/>
    <n v="226"/>
  </r>
  <r>
    <x v="16"/>
    <x v="0"/>
    <x v="3"/>
    <n v="2375"/>
    <n v="317"/>
    <n v="108"/>
  </r>
  <r>
    <x v="17"/>
    <x v="0"/>
    <x v="3"/>
    <n v="4900"/>
    <n v="452"/>
    <n v="381"/>
  </r>
  <r>
    <x v="18"/>
    <x v="0"/>
    <x v="3"/>
    <n v="2363"/>
    <n v="246"/>
    <n v="24"/>
  </r>
  <r>
    <x v="19"/>
    <x v="0"/>
    <x v="4"/>
    <n v="3635"/>
    <n v="493"/>
    <n v="197"/>
  </r>
  <r>
    <x v="20"/>
    <x v="0"/>
    <x v="4"/>
    <n v="3784"/>
    <n v="424"/>
    <n v="248"/>
  </r>
  <r>
    <x v="21"/>
    <x v="0"/>
    <x v="4"/>
    <n v="2905"/>
    <n v="268"/>
    <n v="98"/>
  </r>
  <r>
    <x v="22"/>
    <x v="0"/>
    <x v="4"/>
    <n v="6904"/>
    <n v="107"/>
    <n v="37"/>
  </r>
  <r>
    <x v="23"/>
    <x v="0"/>
    <x v="4"/>
    <n v="2004"/>
    <n v="204"/>
    <n v="112"/>
  </r>
  <r>
    <x v="24"/>
    <x v="0"/>
    <x v="4"/>
    <n v="2987"/>
    <n v="355"/>
    <n v="300"/>
  </r>
  <r>
    <x v="25"/>
    <x v="1"/>
    <x v="0"/>
    <n v="4427"/>
    <n v="410"/>
    <n v="382"/>
  </r>
  <r>
    <x v="26"/>
    <x v="1"/>
    <x v="0"/>
    <n v="6194"/>
    <n v="377"/>
    <n v="308"/>
  </r>
  <r>
    <x v="27"/>
    <x v="1"/>
    <x v="1"/>
    <n v="4610"/>
    <n v="344"/>
    <n v="332"/>
  </r>
  <r>
    <x v="28"/>
    <x v="1"/>
    <x v="1"/>
    <n v="6994"/>
    <n v="413"/>
    <n v="6"/>
  </r>
  <r>
    <x v="29"/>
    <x v="1"/>
    <x v="1"/>
    <n v="4469"/>
    <n v="283"/>
    <n v="7"/>
  </r>
  <r>
    <x v="30"/>
    <x v="1"/>
    <x v="1"/>
    <n v="2734"/>
    <n v="467"/>
    <n v="274"/>
  </r>
  <r>
    <x v="31"/>
    <x v="1"/>
    <x v="1"/>
    <n v="2912"/>
    <n v="213"/>
    <n v="32"/>
  </r>
  <r>
    <x v="32"/>
    <x v="1"/>
    <x v="1"/>
    <n v="6924"/>
    <n v="122"/>
    <n v="18"/>
  </r>
  <r>
    <x v="33"/>
    <x v="1"/>
    <x v="1"/>
    <n v="2211"/>
    <n v="257"/>
    <n v="13"/>
  </r>
  <r>
    <x v="34"/>
    <x v="1"/>
    <x v="1"/>
    <n v="2546"/>
    <n v="403"/>
    <n v="237"/>
  </r>
  <r>
    <x v="35"/>
    <x v="1"/>
    <x v="1"/>
    <n v="3199"/>
    <n v="164"/>
    <n v="32"/>
  </r>
  <r>
    <x v="36"/>
    <x v="1"/>
    <x v="2"/>
    <n v="2404"/>
    <n v="805"/>
    <n v="58"/>
  </r>
  <r>
    <x v="37"/>
    <x v="1"/>
    <x v="2"/>
    <n v="5843"/>
    <n v="824"/>
    <n v="78"/>
  </r>
  <r>
    <x v="38"/>
    <x v="1"/>
    <x v="2"/>
    <n v="6839"/>
    <n v="235"/>
    <n v="171"/>
  </r>
  <r>
    <x v="39"/>
    <x v="1"/>
    <x v="2"/>
    <n v="5104"/>
    <n v="183"/>
    <n v="61"/>
  </r>
  <r>
    <x v="40"/>
    <x v="1"/>
    <x v="2"/>
    <n v="3689"/>
    <n v="316"/>
    <n v="24"/>
  </r>
  <r>
    <x v="41"/>
    <x v="1"/>
    <x v="2"/>
    <n v="2402"/>
    <n v="123"/>
    <n v="12"/>
  </r>
  <r>
    <x v="42"/>
    <x v="1"/>
    <x v="2"/>
    <n v="4300"/>
    <n v="239"/>
    <n v="79"/>
  </r>
  <r>
    <x v="43"/>
    <x v="1"/>
    <x v="3"/>
    <n v="4928"/>
    <n v="410"/>
    <n v="82"/>
  </r>
  <r>
    <x v="44"/>
    <x v="1"/>
    <x v="3"/>
    <n v="2010"/>
    <n v="394"/>
    <n v="145"/>
  </r>
  <r>
    <x v="45"/>
    <x v="1"/>
    <x v="3"/>
    <n v="6377"/>
    <n v="210"/>
    <n v="127"/>
  </r>
  <r>
    <x v="46"/>
    <x v="1"/>
    <x v="3"/>
    <n v="3182"/>
    <n v="306"/>
    <n v="105"/>
  </r>
  <r>
    <x v="47"/>
    <x v="1"/>
    <x v="3"/>
    <n v="4326"/>
    <n v="433"/>
    <n v="355"/>
  </r>
  <r>
    <x v="48"/>
    <x v="1"/>
    <x v="3"/>
    <n v="3947"/>
    <n v="498"/>
    <n v="87"/>
  </r>
  <r>
    <x v="49"/>
    <x v="1"/>
    <x v="3"/>
    <n v="4921"/>
    <n v="410"/>
    <n v="314"/>
  </r>
  <r>
    <x v="50"/>
    <x v="1"/>
    <x v="3"/>
    <n v="5585"/>
    <n v="326"/>
    <n v="24"/>
  </r>
  <r>
    <x v="51"/>
    <x v="1"/>
    <x v="3"/>
    <n v="4375"/>
    <n v="376"/>
    <n v="78"/>
  </r>
  <r>
    <x v="52"/>
    <x v="1"/>
    <x v="3"/>
    <n v="6700"/>
    <n v="172"/>
    <n v="136"/>
  </r>
  <r>
    <x v="53"/>
    <x v="1"/>
    <x v="4"/>
    <n v="4556"/>
    <n v="107"/>
    <n v="20"/>
  </r>
  <r>
    <x v="54"/>
    <x v="1"/>
    <x v="4"/>
    <n v="6673"/>
    <n v="136"/>
    <n v="133"/>
  </r>
  <r>
    <x v="55"/>
    <x v="1"/>
    <x v="4"/>
    <n v="6750"/>
    <n v="259"/>
    <n v="231"/>
  </r>
  <r>
    <x v="56"/>
    <x v="1"/>
    <x v="4"/>
    <n v="3384"/>
    <n v="478"/>
    <n v="112"/>
  </r>
  <r>
    <x v="57"/>
    <x v="2"/>
    <x v="0"/>
    <n v="6047"/>
    <n v="336"/>
    <n v="204"/>
  </r>
  <r>
    <x v="58"/>
    <x v="2"/>
    <x v="0"/>
    <n v="4252"/>
    <n v="462"/>
    <n v="410"/>
  </r>
  <r>
    <x v="59"/>
    <x v="2"/>
    <x v="1"/>
    <n v="5425"/>
    <n v="313"/>
    <n v="290"/>
  </r>
  <r>
    <x v="60"/>
    <x v="2"/>
    <x v="1"/>
    <n v="2275"/>
    <n v="352"/>
    <n v="114"/>
  </r>
  <r>
    <x v="61"/>
    <x v="2"/>
    <x v="1"/>
    <n v="6538"/>
    <n v="341"/>
    <n v="53"/>
  </r>
  <r>
    <x v="62"/>
    <x v="2"/>
    <x v="1"/>
    <n v="6839"/>
    <n v="258"/>
    <n v="22"/>
  </r>
  <r>
    <x v="63"/>
    <x v="2"/>
    <x v="2"/>
    <n v="6688"/>
    <n v="191"/>
    <n v="180"/>
  </r>
  <r>
    <x v="64"/>
    <x v="2"/>
    <x v="2"/>
    <n v="6849"/>
    <n v="465"/>
    <n v="46"/>
  </r>
  <r>
    <x v="65"/>
    <x v="2"/>
    <x v="2"/>
    <n v="5860"/>
    <n v="387"/>
    <n v="18"/>
  </r>
  <r>
    <x v="66"/>
    <x v="2"/>
    <x v="2"/>
    <n v="3417"/>
    <n v="108"/>
    <n v="28"/>
  </r>
  <r>
    <x v="67"/>
    <x v="2"/>
    <x v="2"/>
    <n v="2090"/>
    <n v="285"/>
    <n v="197"/>
  </r>
  <r>
    <x v="68"/>
    <x v="2"/>
    <x v="2"/>
    <n v="2473"/>
    <n v="360"/>
    <n v="105"/>
  </r>
  <r>
    <x v="69"/>
    <x v="2"/>
    <x v="2"/>
    <n v="6563"/>
    <n v="456"/>
    <n v="273"/>
  </r>
  <r>
    <x v="70"/>
    <x v="2"/>
    <x v="2"/>
    <n v="4330"/>
    <n v="199"/>
    <n v="118"/>
  </r>
  <r>
    <x v="71"/>
    <x v="2"/>
    <x v="2"/>
    <n v="6449"/>
    <n v="193"/>
    <n v="162"/>
  </r>
  <r>
    <x v="72"/>
    <x v="2"/>
    <x v="2"/>
    <n v="3900"/>
    <n v="322"/>
    <n v="85"/>
  </r>
  <r>
    <x v="73"/>
    <x v="2"/>
    <x v="2"/>
    <n v="4437"/>
    <n v="106"/>
    <n v="11"/>
  </r>
  <r>
    <x v="74"/>
    <x v="2"/>
    <x v="2"/>
    <n v="5172"/>
    <n v="260"/>
    <n v="53"/>
  </r>
  <r>
    <x v="75"/>
    <x v="2"/>
    <x v="3"/>
    <n v="6326"/>
    <n v="258"/>
    <n v="253"/>
  </r>
  <r>
    <x v="76"/>
    <x v="2"/>
    <x v="3"/>
    <n v="6624"/>
    <n v="253"/>
    <n v="151"/>
  </r>
  <r>
    <x v="77"/>
    <x v="2"/>
    <x v="3"/>
    <n v="2212"/>
    <n v="479"/>
    <n v="199"/>
  </r>
  <r>
    <x v="78"/>
    <x v="2"/>
    <x v="3"/>
    <n v="4311"/>
    <n v="239"/>
    <n v="136"/>
  </r>
  <r>
    <x v="79"/>
    <x v="2"/>
    <x v="3"/>
    <n v="4322"/>
    <n v="404"/>
    <n v="381"/>
  </r>
  <r>
    <x v="80"/>
    <x v="2"/>
    <x v="3"/>
    <n v="5296"/>
    <n v="380"/>
    <n v="360"/>
  </r>
  <r>
    <x v="81"/>
    <x v="2"/>
    <x v="3"/>
    <n v="6151"/>
    <n v="384"/>
    <n v="265"/>
  </r>
  <r>
    <x v="82"/>
    <x v="2"/>
    <x v="3"/>
    <n v="3598"/>
    <n v="148"/>
    <n v="45"/>
  </r>
  <r>
    <x v="83"/>
    <x v="2"/>
    <x v="3"/>
    <n v="4935"/>
    <n v="205"/>
    <n v="45"/>
  </r>
  <r>
    <x v="84"/>
    <x v="2"/>
    <x v="3"/>
    <n v="3250"/>
    <n v="274"/>
    <n v="20"/>
  </r>
  <r>
    <x v="85"/>
    <x v="2"/>
    <x v="3"/>
    <n v="5399"/>
    <n v="256"/>
    <n v="134"/>
  </r>
  <r>
    <x v="86"/>
    <x v="2"/>
    <x v="4"/>
    <n v="3974"/>
    <n v="210"/>
    <n v="118"/>
  </r>
  <r>
    <x v="87"/>
    <x v="2"/>
    <x v="4"/>
    <n v="6693"/>
    <n v="336"/>
    <n v="25"/>
  </r>
  <r>
    <x v="88"/>
    <x v="2"/>
    <x v="4"/>
    <n v="3181"/>
    <n v="171"/>
    <n v="125"/>
  </r>
  <r>
    <x v="89"/>
    <x v="3"/>
    <x v="0"/>
    <n v="4606"/>
    <n v="297"/>
    <n v="287"/>
  </r>
  <r>
    <x v="90"/>
    <x v="3"/>
    <x v="1"/>
    <n v="4885"/>
    <n v="371"/>
    <n v="144"/>
  </r>
  <r>
    <x v="91"/>
    <x v="3"/>
    <x v="1"/>
    <n v="3439"/>
    <n v="347"/>
    <n v="86"/>
  </r>
  <r>
    <x v="92"/>
    <x v="3"/>
    <x v="1"/>
    <n v="4802"/>
    <n v="440"/>
    <n v="4"/>
  </r>
  <r>
    <x v="93"/>
    <x v="3"/>
    <x v="1"/>
    <n v="6201"/>
    <n v="130"/>
    <n v="9"/>
  </r>
  <r>
    <x v="94"/>
    <x v="3"/>
    <x v="1"/>
    <n v="6429"/>
    <n v="388"/>
    <n v="240"/>
  </r>
  <r>
    <x v="95"/>
    <x v="3"/>
    <x v="1"/>
    <n v="3796"/>
    <n v="386"/>
    <n v="244"/>
  </r>
  <r>
    <x v="96"/>
    <x v="3"/>
    <x v="2"/>
    <n v="2913"/>
    <n v="856"/>
    <n v="96"/>
  </r>
  <r>
    <x v="97"/>
    <x v="3"/>
    <x v="2"/>
    <n v="5347"/>
    <n v="334"/>
    <n v="332"/>
  </r>
  <r>
    <x v="98"/>
    <x v="3"/>
    <x v="2"/>
    <n v="2555"/>
    <n v="417"/>
    <n v="96"/>
  </r>
  <r>
    <x v="99"/>
    <x v="3"/>
    <x v="2"/>
    <n v="5381"/>
    <n v="188"/>
    <n v="73"/>
  </r>
  <r>
    <x v="100"/>
    <x v="3"/>
    <x v="3"/>
    <n v="4160"/>
    <n v="243"/>
    <n v="27"/>
  </r>
  <r>
    <x v="101"/>
    <x v="3"/>
    <x v="3"/>
    <n v="6401"/>
    <n v="311"/>
    <n v="223"/>
  </r>
  <r>
    <x v="102"/>
    <x v="3"/>
    <x v="3"/>
    <n v="2072"/>
    <n v="226"/>
    <n v="180"/>
  </r>
  <r>
    <x v="103"/>
    <x v="3"/>
    <x v="3"/>
    <n v="3518"/>
    <n v="426"/>
    <n v="86"/>
  </r>
  <r>
    <x v="104"/>
    <x v="3"/>
    <x v="3"/>
    <n v="4763"/>
    <n v="107"/>
    <n v="44"/>
  </r>
  <r>
    <x v="105"/>
    <x v="3"/>
    <x v="3"/>
    <n v="5269"/>
    <n v="115"/>
    <n v="37"/>
  </r>
  <r>
    <x v="106"/>
    <x v="3"/>
    <x v="3"/>
    <n v="6305"/>
    <n v="380"/>
    <n v="76"/>
  </r>
  <r>
    <x v="107"/>
    <x v="3"/>
    <x v="4"/>
    <n v="2078"/>
    <n v="223"/>
    <n v="194"/>
  </r>
  <r>
    <x v="108"/>
    <x v="3"/>
    <x v="4"/>
    <n v="6015"/>
    <n v="109"/>
    <n v="92"/>
  </r>
  <r>
    <x v="109"/>
    <x v="3"/>
    <x v="4"/>
    <n v="2184"/>
    <n v="474"/>
    <n v="182"/>
  </r>
  <r>
    <x v="110"/>
    <x v="3"/>
    <x v="4"/>
    <n v="2021"/>
    <n v="362"/>
    <n v="235"/>
  </r>
  <r>
    <x v="111"/>
    <x v="3"/>
    <x v="4"/>
    <n v="5396"/>
    <n v="332"/>
    <n v="102"/>
  </r>
  <r>
    <x v="112"/>
    <x v="3"/>
    <x v="4"/>
    <n v="6551"/>
    <n v="284"/>
    <n v="194"/>
  </r>
  <r>
    <x v="113"/>
    <x v="3"/>
    <x v="4"/>
    <n v="3973"/>
    <n v="194"/>
    <n v="71"/>
  </r>
  <r>
    <x v="114"/>
    <x v="3"/>
    <x v="4"/>
    <n v="3685"/>
    <n v="359"/>
    <n v="205"/>
  </r>
  <r>
    <x v="115"/>
    <x v="4"/>
    <x v="0"/>
    <n v="3519"/>
    <n v="315"/>
    <n v="301"/>
  </r>
  <r>
    <x v="116"/>
    <x v="4"/>
    <x v="0"/>
    <n v="3917"/>
    <n v="188"/>
    <n v="128"/>
  </r>
  <r>
    <x v="117"/>
    <x v="4"/>
    <x v="1"/>
    <n v="4830"/>
    <n v="436"/>
    <n v="57"/>
  </r>
  <r>
    <x v="118"/>
    <x v="4"/>
    <x v="1"/>
    <n v="2224"/>
    <n v="453"/>
    <n v="347"/>
  </r>
  <r>
    <x v="119"/>
    <x v="4"/>
    <x v="1"/>
    <n v="2637"/>
    <n v="333"/>
    <n v="5"/>
  </r>
  <r>
    <x v="120"/>
    <x v="4"/>
    <x v="1"/>
    <n v="5854"/>
    <n v="441"/>
    <n v="278"/>
  </r>
  <r>
    <x v="121"/>
    <x v="4"/>
    <x v="1"/>
    <n v="3395"/>
    <n v="315"/>
    <n v="108"/>
  </r>
  <r>
    <x v="122"/>
    <x v="4"/>
    <x v="1"/>
    <n v="2363"/>
    <n v="405"/>
    <n v="386"/>
  </r>
  <r>
    <x v="123"/>
    <x v="4"/>
    <x v="2"/>
    <n v="6812"/>
    <n v="869"/>
    <n v="95"/>
  </r>
  <r>
    <x v="124"/>
    <x v="4"/>
    <x v="2"/>
    <n v="3904"/>
    <n v="895"/>
    <n v="96"/>
  </r>
  <r>
    <x v="125"/>
    <x v="4"/>
    <x v="2"/>
    <n v="3025"/>
    <n v="216"/>
    <n v="78"/>
  </r>
  <r>
    <x v="126"/>
    <x v="4"/>
    <x v="2"/>
    <n v="3037"/>
    <n v="145"/>
    <n v="134"/>
  </r>
  <r>
    <x v="127"/>
    <x v="4"/>
    <x v="2"/>
    <n v="5641"/>
    <n v="254"/>
    <n v="230"/>
  </r>
  <r>
    <x v="128"/>
    <x v="4"/>
    <x v="2"/>
    <n v="6475"/>
    <n v="310"/>
    <n v="98"/>
  </r>
  <r>
    <x v="129"/>
    <x v="4"/>
    <x v="2"/>
    <n v="6861"/>
    <n v="306"/>
    <n v="157"/>
  </r>
  <r>
    <x v="130"/>
    <x v="4"/>
    <x v="2"/>
    <n v="2654"/>
    <n v="297"/>
    <n v="146"/>
  </r>
  <r>
    <x v="131"/>
    <x v="4"/>
    <x v="2"/>
    <n v="2223"/>
    <n v="409"/>
    <n v="258"/>
  </r>
  <r>
    <x v="132"/>
    <x v="4"/>
    <x v="2"/>
    <n v="5008"/>
    <n v="330"/>
    <n v="35"/>
  </r>
  <r>
    <x v="133"/>
    <x v="4"/>
    <x v="2"/>
    <n v="6372"/>
    <n v="258"/>
    <n v="186"/>
  </r>
  <r>
    <x v="134"/>
    <x v="4"/>
    <x v="2"/>
    <n v="6081"/>
    <n v="461"/>
    <n v="367"/>
  </r>
  <r>
    <x v="135"/>
    <x v="4"/>
    <x v="3"/>
    <n v="6661"/>
    <n v="160"/>
    <n v="83"/>
  </r>
  <r>
    <x v="136"/>
    <x v="4"/>
    <x v="3"/>
    <n v="2916"/>
    <n v="195"/>
    <n v="113"/>
  </r>
  <r>
    <x v="137"/>
    <x v="4"/>
    <x v="3"/>
    <n v="6137"/>
    <n v="414"/>
    <n v="309"/>
  </r>
  <r>
    <x v="138"/>
    <x v="4"/>
    <x v="3"/>
    <n v="3145"/>
    <n v="263"/>
    <n v="186"/>
  </r>
  <r>
    <x v="139"/>
    <x v="4"/>
    <x v="3"/>
    <n v="4057"/>
    <n v="362"/>
    <n v="288"/>
  </r>
  <r>
    <x v="140"/>
    <x v="4"/>
    <x v="3"/>
    <n v="4708"/>
    <n v="276"/>
    <n v="22"/>
  </r>
  <r>
    <x v="141"/>
    <x v="4"/>
    <x v="3"/>
    <n v="3181"/>
    <n v="339"/>
    <n v="49"/>
  </r>
  <r>
    <x v="142"/>
    <x v="4"/>
    <x v="3"/>
    <n v="5345"/>
    <n v="480"/>
    <n v="414"/>
  </r>
  <r>
    <x v="143"/>
    <x v="4"/>
    <x v="3"/>
    <n v="3188"/>
    <n v="300"/>
    <n v="36"/>
  </r>
  <r>
    <x v="144"/>
    <x v="4"/>
    <x v="3"/>
    <n v="2543"/>
    <n v="339"/>
    <n v="33"/>
  </r>
  <r>
    <x v="145"/>
    <x v="4"/>
    <x v="3"/>
    <n v="4674"/>
    <n v="162"/>
    <n v="157"/>
  </r>
  <r>
    <x v="146"/>
    <x v="4"/>
    <x v="3"/>
    <n v="3010"/>
    <n v="184"/>
    <n v="54"/>
  </r>
  <r>
    <x v="147"/>
    <x v="4"/>
    <x v="4"/>
    <n v="5476"/>
    <n v="221"/>
    <n v="44"/>
  </r>
  <r>
    <x v="148"/>
    <x v="4"/>
    <x v="4"/>
    <n v="3777"/>
    <n v="451"/>
    <n v="227"/>
  </r>
  <r>
    <x v="149"/>
    <x v="4"/>
    <x v="4"/>
    <n v="2089"/>
    <n v="381"/>
    <n v="224"/>
  </r>
  <r>
    <x v="115"/>
    <x v="5"/>
    <x v="0"/>
    <n v="3519"/>
    <n v="315"/>
    <n v="301"/>
  </r>
  <r>
    <x v="116"/>
    <x v="5"/>
    <x v="0"/>
    <n v="3917"/>
    <n v="188"/>
    <n v="128"/>
  </r>
  <r>
    <x v="117"/>
    <x v="5"/>
    <x v="1"/>
    <n v="4830"/>
    <n v="436"/>
    <n v="57"/>
  </r>
  <r>
    <x v="118"/>
    <x v="5"/>
    <x v="1"/>
    <n v="2224"/>
    <n v="453"/>
    <n v="347"/>
  </r>
  <r>
    <x v="150"/>
    <x v="6"/>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FC3EF-6E0A-4C2B-B49D-1DFE586228BC}"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235:D242" firstHeaderRow="0" firstDataRow="1" firstDataCol="1"/>
  <pivotFields count="7">
    <pivotField showAll="0"/>
    <pivotField axis="axisRow" showAll="0" sortType="ascending">
      <items count="8">
        <item x="1"/>
        <item x="2"/>
        <item x="3"/>
        <item x="4"/>
        <item x="0"/>
        <item x="5"/>
        <item h="1" x="6"/>
        <item t="default"/>
      </items>
    </pivotField>
    <pivotField showAll="0">
      <items count="7">
        <item x="0"/>
        <item x="1"/>
        <item x="2"/>
        <item x="3"/>
        <item x="4"/>
        <item x="5"/>
        <item t="default"/>
      </items>
    </pivotField>
    <pivotField dataField="1" showAll="0"/>
    <pivotField dataField="1" showAll="0"/>
    <pivotField dataField="1"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Sum of Units Sold" fld="5" baseField="0" baseItem="0" numFmtId="165"/>
    <dataField name="Sum of Impressions" fld="3" baseField="0" baseItem="0" numFmtId="165"/>
    <dataField name="Sum of Clicks" fld="4" baseField="0" baseItem="0" numFmtId="165"/>
  </dataFields>
  <formats count="3">
    <format dxfId="122">
      <pivotArea collapsedLevelsAreSubtotals="1" fieldPosition="0">
        <references count="1">
          <reference field="1" count="0"/>
        </references>
      </pivotArea>
    </format>
    <format dxfId="121">
      <pivotArea outline="0" collapsedLevelsAreSubtotals="1" fieldPosition="0">
        <references count="1">
          <reference field="4294967294" count="1" selected="0">
            <x v="0"/>
          </reference>
        </references>
      </pivotArea>
    </format>
    <format dxfId="120">
      <pivotArea outline="0" collapsedLevelsAreSubtotals="1" fieldPosition="0">
        <references count="1">
          <reference field="4294967294" count="2" selected="0">
            <x v="1"/>
            <x v="2"/>
          </reference>
        </references>
      </pivotArea>
    </format>
  </formats>
  <chartFormats count="3">
    <chartFormat chart="0" format="0"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28B09-C206-4613-B7A5-1EF944143D8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7:B194" firstHeaderRow="1" firstDataRow="1" firstDataCol="1"/>
  <pivotFields count="7">
    <pivotField showAll="0"/>
    <pivotField axis="axisRow" showAll="0">
      <items count="8">
        <item x="1"/>
        <item x="2"/>
        <item x="3"/>
        <item x="4"/>
        <item x="0"/>
        <item x="5"/>
        <item h="1" x="6"/>
        <item t="default"/>
      </items>
    </pivotField>
    <pivotField showAll="0">
      <items count="7">
        <item x="0"/>
        <item x="1"/>
        <item x="2"/>
        <item x="3"/>
        <item x="4"/>
        <item x="5"/>
        <item t="default"/>
      </items>
    </pivotField>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Sum of Impressions" fld="3"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821DF-CCA2-4950-AD42-6A0F6D391C1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3:B150" firstHeaderRow="1" firstDataRow="1" firstDataCol="1"/>
  <pivotFields count="7">
    <pivotField showAll="0"/>
    <pivotField axis="axisRow" showAll="0">
      <items count="8">
        <item x="1"/>
        <item x="2"/>
        <item x="3"/>
        <item x="4"/>
        <item x="0"/>
        <item x="5"/>
        <item h="1" x="6"/>
        <item t="default"/>
      </items>
    </pivotField>
    <pivotField showAll="0">
      <items count="7">
        <item x="0"/>
        <item x="1"/>
        <item x="2"/>
        <item x="3"/>
        <item x="4"/>
        <item x="5"/>
        <item t="default"/>
      </items>
    </pivotField>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Sum of Units Sold" fld="5" baseField="0" baseItem="0"/>
  </dataFields>
  <chartFormats count="3">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CA461B-8A3A-4342-A294-7E4CB0FF8E0C}"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B9" firstHeaderRow="1" firstDataRow="1" firstDataCol="1"/>
  <pivotFields count="8">
    <pivotField showAll="0">
      <items count="152">
        <item x="18"/>
        <item x="109"/>
        <item x="67"/>
        <item x="128"/>
        <item x="63"/>
        <item x="9"/>
        <item x="106"/>
        <item x="41"/>
        <item x="98"/>
        <item x="75"/>
        <item x="50"/>
        <item x="6"/>
        <item x="72"/>
        <item x="32"/>
        <item x="68"/>
        <item x="119"/>
        <item x="62"/>
        <item x="147"/>
        <item x="25"/>
        <item x="135"/>
        <item x="99"/>
        <item x="125"/>
        <item x="69"/>
        <item x="38"/>
        <item x="105"/>
        <item x="28"/>
        <item x="129"/>
        <item x="121"/>
        <item x="148"/>
        <item x="64"/>
        <item x="141"/>
        <item x="7"/>
        <item x="35"/>
        <item x="39"/>
        <item x="52"/>
        <item x="136"/>
        <item x="149"/>
        <item x="100"/>
        <item x="55"/>
        <item x="19"/>
        <item x="61"/>
        <item x="33"/>
        <item x="57"/>
        <item x="80"/>
        <item x="0"/>
        <item x="113"/>
        <item x="5"/>
        <item x="36"/>
        <item x="23"/>
        <item x="92"/>
        <item x="97"/>
        <item x="130"/>
        <item x="14"/>
        <item x="70"/>
        <item x="15"/>
        <item x="42"/>
        <item x="96"/>
        <item x="76"/>
        <item x="123"/>
        <item x="16"/>
        <item x="29"/>
        <item x="71"/>
        <item x="146"/>
        <item x="27"/>
        <item x="81"/>
        <item x="51"/>
        <item x="47"/>
        <item x="53"/>
        <item x="73"/>
        <item x="59"/>
        <item x="65"/>
        <item x="26"/>
        <item x="90"/>
        <item x="132"/>
        <item x="94"/>
        <item x="79"/>
        <item x="86"/>
        <item x="82"/>
        <item x="8"/>
        <item x="43"/>
        <item x="142"/>
        <item x="87"/>
        <item x="77"/>
        <item x="74"/>
        <item x="48"/>
        <item x="117"/>
        <item x="10"/>
        <item x="1"/>
        <item x="107"/>
        <item x="101"/>
        <item x="3"/>
        <item x="44"/>
        <item x="104"/>
        <item x="78"/>
        <item x="145"/>
        <item x="118"/>
        <item x="49"/>
        <item x="115"/>
        <item x="45"/>
        <item x="116"/>
        <item x="20"/>
        <item x="124"/>
        <item x="84"/>
        <item x="122"/>
        <item x="102"/>
        <item x="11"/>
        <item x="88"/>
        <item x="143"/>
        <item x="108"/>
        <item x="56"/>
        <item x="120"/>
        <item x="34"/>
        <item x="95"/>
        <item x="126"/>
        <item x="40"/>
        <item x="103"/>
        <item x="133"/>
        <item x="30"/>
        <item x="58"/>
        <item x="137"/>
        <item x="127"/>
        <item x="54"/>
        <item x="93"/>
        <item x="22"/>
        <item x="31"/>
        <item x="24"/>
        <item x="17"/>
        <item x="110"/>
        <item x="111"/>
        <item x="37"/>
        <item x="140"/>
        <item x="138"/>
        <item x="12"/>
        <item x="46"/>
        <item x="60"/>
        <item x="112"/>
        <item x="89"/>
        <item x="2"/>
        <item x="144"/>
        <item x="85"/>
        <item x="21"/>
        <item x="134"/>
        <item x="13"/>
        <item x="83"/>
        <item x="66"/>
        <item x="131"/>
        <item x="4"/>
        <item x="139"/>
        <item x="91"/>
        <item x="114"/>
        <item x="150"/>
        <item t="default"/>
      </items>
    </pivotField>
    <pivotField showAll="0">
      <items count="8">
        <item x="1"/>
        <item x="2"/>
        <item x="3"/>
        <item x="4"/>
        <item x="0"/>
        <item x="5"/>
        <item x="6"/>
        <item t="default"/>
      </items>
    </pivotField>
    <pivotField showAll="0">
      <items count="7">
        <item x="0"/>
        <item x="1"/>
        <item x="2"/>
        <item x="3"/>
        <item x="4"/>
        <item x="5"/>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2">
    <field x="7"/>
    <field x="6"/>
  </rowFields>
  <rowItems count="6">
    <i>
      <x v="8"/>
    </i>
    <i>
      <x v="9"/>
    </i>
    <i>
      <x v="10"/>
    </i>
    <i>
      <x v="11"/>
    </i>
    <i>
      <x v="12"/>
    </i>
    <i t="grand">
      <x/>
    </i>
  </rowItems>
  <colItems count="1">
    <i/>
  </colItems>
  <dataFields count="1">
    <dataField name="Sum of Units Sold" fld="5"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4B1D7C-1634-45BA-804E-7D3D02C421D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4:E260" firstHeaderRow="0" firstDataRow="1" firstDataCol="1"/>
  <pivotFields count="8">
    <pivotField showAll="0">
      <items count="152">
        <item x="18"/>
        <item x="109"/>
        <item x="67"/>
        <item x="128"/>
        <item x="63"/>
        <item x="9"/>
        <item x="106"/>
        <item x="41"/>
        <item x="98"/>
        <item x="75"/>
        <item x="50"/>
        <item x="6"/>
        <item x="72"/>
        <item x="32"/>
        <item x="68"/>
        <item x="119"/>
        <item x="62"/>
        <item x="147"/>
        <item x="25"/>
        <item x="135"/>
        <item x="99"/>
        <item x="125"/>
        <item x="69"/>
        <item x="38"/>
        <item x="105"/>
        <item x="28"/>
        <item x="129"/>
        <item x="121"/>
        <item x="148"/>
        <item x="64"/>
        <item x="141"/>
        <item x="7"/>
        <item x="35"/>
        <item x="39"/>
        <item x="52"/>
        <item x="136"/>
        <item x="149"/>
        <item x="100"/>
        <item x="55"/>
        <item x="19"/>
        <item x="61"/>
        <item x="33"/>
        <item x="57"/>
        <item x="80"/>
        <item x="0"/>
        <item x="113"/>
        <item x="5"/>
        <item x="36"/>
        <item x="23"/>
        <item x="92"/>
        <item x="97"/>
        <item x="130"/>
        <item x="14"/>
        <item x="70"/>
        <item x="15"/>
        <item x="42"/>
        <item x="96"/>
        <item x="76"/>
        <item x="123"/>
        <item x="16"/>
        <item x="29"/>
        <item x="71"/>
        <item x="146"/>
        <item x="27"/>
        <item x="81"/>
        <item x="51"/>
        <item x="47"/>
        <item x="53"/>
        <item x="73"/>
        <item x="59"/>
        <item x="65"/>
        <item x="26"/>
        <item x="90"/>
        <item x="132"/>
        <item x="94"/>
        <item x="79"/>
        <item x="86"/>
        <item x="82"/>
        <item x="8"/>
        <item x="43"/>
        <item x="142"/>
        <item x="87"/>
        <item x="77"/>
        <item x="74"/>
        <item x="48"/>
        <item x="117"/>
        <item x="10"/>
        <item x="1"/>
        <item x="107"/>
        <item x="101"/>
        <item x="3"/>
        <item x="44"/>
        <item x="104"/>
        <item x="78"/>
        <item x="145"/>
        <item x="118"/>
        <item x="49"/>
        <item x="115"/>
        <item x="45"/>
        <item x="116"/>
        <item x="20"/>
        <item x="124"/>
        <item x="84"/>
        <item x="122"/>
        <item x="102"/>
        <item x="11"/>
        <item x="88"/>
        <item x="143"/>
        <item x="108"/>
        <item x="56"/>
        <item x="120"/>
        <item x="34"/>
        <item x="95"/>
        <item x="126"/>
        <item x="40"/>
        <item x="103"/>
        <item x="133"/>
        <item x="30"/>
        <item x="58"/>
        <item x="137"/>
        <item x="127"/>
        <item x="54"/>
        <item x="93"/>
        <item x="22"/>
        <item x="31"/>
        <item x="24"/>
        <item x="17"/>
        <item x="110"/>
        <item x="111"/>
        <item x="37"/>
        <item x="140"/>
        <item x="138"/>
        <item x="12"/>
        <item x="46"/>
        <item x="60"/>
        <item x="112"/>
        <item x="89"/>
        <item x="2"/>
        <item x="144"/>
        <item x="85"/>
        <item x="21"/>
        <item x="134"/>
        <item x="13"/>
        <item x="83"/>
        <item x="66"/>
        <item x="131"/>
        <item x="4"/>
        <item x="139"/>
        <item x="91"/>
        <item x="114"/>
        <item x="150"/>
        <item t="default"/>
      </items>
    </pivotField>
    <pivotField showAll="0"/>
    <pivotField axis="axisRow" showAll="0">
      <items count="7">
        <item x="0"/>
        <item x="1"/>
        <item x="2"/>
        <item x="3"/>
        <item x="4"/>
        <item h="1" x="5"/>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3">
    <i>
      <x/>
    </i>
    <i i="1">
      <x v="1"/>
    </i>
    <i i="2">
      <x v="2"/>
    </i>
  </colItems>
  <dataFields count="3">
    <dataField name="Sum of Units Sold" fld="5" baseField="0" baseItem="0"/>
    <dataField name="Sum of Clicks" fld="4" baseField="0" baseItem="0"/>
    <dataField name="Sum of Impr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4075DB-E98B-47FB-A18F-112E5FB1E29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6:E22" firstHeaderRow="0" firstDataRow="1" firstDataCol="1"/>
  <pivotFields count="8">
    <pivotField showAll="0">
      <items count="152">
        <item x="18"/>
        <item x="109"/>
        <item x="67"/>
        <item x="128"/>
        <item x="63"/>
        <item x="9"/>
        <item x="106"/>
        <item x="41"/>
        <item x="98"/>
        <item x="75"/>
        <item x="50"/>
        <item x="6"/>
        <item x="72"/>
        <item x="32"/>
        <item x="68"/>
        <item x="119"/>
        <item x="62"/>
        <item x="147"/>
        <item x="25"/>
        <item x="135"/>
        <item x="99"/>
        <item x="125"/>
        <item x="69"/>
        <item x="38"/>
        <item x="105"/>
        <item x="28"/>
        <item x="129"/>
        <item x="121"/>
        <item x="148"/>
        <item x="64"/>
        <item x="141"/>
        <item x="7"/>
        <item x="35"/>
        <item x="39"/>
        <item x="52"/>
        <item x="136"/>
        <item x="149"/>
        <item x="100"/>
        <item x="55"/>
        <item x="19"/>
        <item x="61"/>
        <item x="33"/>
        <item x="57"/>
        <item x="80"/>
        <item x="0"/>
        <item x="113"/>
        <item x="5"/>
        <item x="36"/>
        <item x="23"/>
        <item x="92"/>
        <item x="97"/>
        <item x="130"/>
        <item x="14"/>
        <item x="70"/>
        <item x="15"/>
        <item x="42"/>
        <item x="96"/>
        <item x="76"/>
        <item x="123"/>
        <item x="16"/>
        <item x="29"/>
        <item x="71"/>
        <item x="146"/>
        <item x="27"/>
        <item x="81"/>
        <item x="51"/>
        <item x="47"/>
        <item x="53"/>
        <item x="73"/>
        <item x="59"/>
        <item x="65"/>
        <item x="26"/>
        <item x="90"/>
        <item x="132"/>
        <item x="94"/>
        <item x="79"/>
        <item x="86"/>
        <item x="82"/>
        <item x="8"/>
        <item x="43"/>
        <item x="142"/>
        <item x="87"/>
        <item x="77"/>
        <item x="74"/>
        <item x="48"/>
        <item x="117"/>
        <item x="10"/>
        <item x="1"/>
        <item x="107"/>
        <item x="101"/>
        <item x="3"/>
        <item x="44"/>
        <item x="104"/>
        <item x="78"/>
        <item x="145"/>
        <item x="118"/>
        <item x="49"/>
        <item x="115"/>
        <item x="45"/>
        <item x="116"/>
        <item x="20"/>
        <item x="124"/>
        <item x="84"/>
        <item x="122"/>
        <item x="102"/>
        <item x="11"/>
        <item x="88"/>
        <item x="143"/>
        <item x="108"/>
        <item x="56"/>
        <item x="120"/>
        <item x="34"/>
        <item x="95"/>
        <item x="126"/>
        <item x="40"/>
        <item x="103"/>
        <item x="133"/>
        <item x="30"/>
        <item x="58"/>
        <item x="137"/>
        <item x="127"/>
        <item x="54"/>
        <item x="93"/>
        <item x="22"/>
        <item x="31"/>
        <item x="24"/>
        <item x="17"/>
        <item x="110"/>
        <item x="111"/>
        <item x="37"/>
        <item x="140"/>
        <item x="138"/>
        <item x="12"/>
        <item x="46"/>
        <item x="60"/>
        <item x="112"/>
        <item x="89"/>
        <item x="2"/>
        <item x="144"/>
        <item x="85"/>
        <item x="21"/>
        <item x="134"/>
        <item x="13"/>
        <item x="83"/>
        <item x="66"/>
        <item x="131"/>
        <item x="4"/>
        <item x="139"/>
        <item x="91"/>
        <item x="114"/>
        <item x="150"/>
        <item t="default"/>
      </items>
    </pivotField>
    <pivotField showAll="0"/>
    <pivotField axis="axisRow" showAll="0">
      <items count="7">
        <item x="0"/>
        <item x="1"/>
        <item x="2"/>
        <item x="3"/>
        <item x="4"/>
        <item h="1" x="5"/>
        <item t="default"/>
      </items>
    </pivotField>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Fields count="1">
    <field x="-2"/>
  </colFields>
  <colItems count="3">
    <i>
      <x/>
    </i>
    <i i="1">
      <x v="1"/>
    </i>
    <i i="2">
      <x v="2"/>
    </i>
  </colItems>
  <dataFields count="3">
    <dataField name="Sum of Impressions" fld="3" baseField="0" baseItem="0"/>
    <dataField name="Sum of Clicks" fld="4" baseField="0" baseItem="0"/>
    <dataField name="Sum of Units Sold" fld="5" baseField="0" baseItem="0"/>
  </dataFields>
  <formats count="13">
    <format dxfId="14">
      <pivotArea outline="0" collapsedLevelsAreSubtotals="1" fieldPosition="0"/>
    </format>
    <format dxfId="15">
      <pivotArea field="2" type="button" dataOnly="0" labelOnly="1" outline="0" axis="axisRow" fieldPosition="0"/>
    </format>
    <format dxfId="16">
      <pivotArea dataOnly="0" labelOnly="1" outline="0" fieldPosition="0">
        <references count="1">
          <reference field="4294967294" count="3">
            <x v="0"/>
            <x v="1"/>
            <x v="2"/>
          </reference>
        </references>
      </pivotArea>
    </format>
    <format dxfId="17">
      <pivotArea grandRow="1" outline="0" collapsedLevelsAreSubtotals="1" fieldPosition="0"/>
    </format>
    <format dxfId="18">
      <pivotArea dataOnly="0" labelOnly="1" grandRow="1" outline="0" fieldPosition="0"/>
    </format>
    <format dxfId="11">
      <pivotArea field="2" type="button" dataOnly="0" labelOnly="1" outline="0" axis="axisRow" fieldPosition="0"/>
    </format>
    <format dxfId="10">
      <pivotArea dataOnly="0" labelOnly="1" outline="0" fieldPosition="0">
        <references count="1">
          <reference field="4294967294" count="3">
            <x v="0"/>
            <x v="1"/>
            <x v="2"/>
          </reference>
        </references>
      </pivotArea>
    </format>
    <format dxfId="9">
      <pivotArea field="2" type="button" dataOnly="0" labelOnly="1" outline="0" axis="axisRow" fieldPosition="0"/>
    </format>
    <format dxfId="8">
      <pivotArea dataOnly="0" labelOnly="1" outline="0" fieldPosition="0">
        <references count="1">
          <reference field="4294967294" count="3">
            <x v="0"/>
            <x v="1"/>
            <x v="2"/>
          </reference>
        </references>
      </pivotArea>
    </format>
    <format dxfId="7">
      <pivotArea grandRow="1" outline="0" collapsedLevelsAreSubtotals="1" fieldPosition="0"/>
    </format>
    <format dxfId="6">
      <pivotArea dataOnly="0" labelOnly="1" grandRow="1" outline="0" fieldPosition="0"/>
    </format>
    <format dxfId="5">
      <pivotArea grandRow="1" outline="0" collapsedLevelsAreSubtotals="1" fieldPosition="0"/>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693CD7-3118-4765-A5FE-72E32831BD5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E13" firstHeaderRow="0" firstDataRow="1" firstDataCol="1"/>
  <pivotFields count="8">
    <pivotField showAll="0">
      <items count="152">
        <item x="18"/>
        <item x="109"/>
        <item x="67"/>
        <item x="128"/>
        <item x="63"/>
        <item x="9"/>
        <item x="106"/>
        <item x="41"/>
        <item x="98"/>
        <item x="75"/>
        <item x="50"/>
        <item x="6"/>
        <item x="72"/>
        <item x="32"/>
        <item x="68"/>
        <item x="119"/>
        <item x="62"/>
        <item x="147"/>
        <item x="25"/>
        <item x="135"/>
        <item x="99"/>
        <item x="125"/>
        <item x="69"/>
        <item x="38"/>
        <item x="105"/>
        <item x="28"/>
        <item x="129"/>
        <item x="121"/>
        <item x="148"/>
        <item x="64"/>
        <item x="141"/>
        <item x="7"/>
        <item x="35"/>
        <item x="39"/>
        <item x="52"/>
        <item x="136"/>
        <item x="149"/>
        <item x="100"/>
        <item x="55"/>
        <item x="19"/>
        <item x="61"/>
        <item x="33"/>
        <item x="57"/>
        <item x="80"/>
        <item x="0"/>
        <item x="113"/>
        <item x="5"/>
        <item x="36"/>
        <item x="23"/>
        <item x="92"/>
        <item x="97"/>
        <item x="130"/>
        <item x="14"/>
        <item x="70"/>
        <item x="15"/>
        <item x="42"/>
        <item x="96"/>
        <item x="76"/>
        <item x="123"/>
        <item x="16"/>
        <item x="29"/>
        <item x="71"/>
        <item x="146"/>
        <item x="27"/>
        <item x="81"/>
        <item x="51"/>
        <item x="47"/>
        <item x="53"/>
        <item x="73"/>
        <item x="59"/>
        <item x="65"/>
        <item x="26"/>
        <item x="90"/>
        <item x="132"/>
        <item x="94"/>
        <item x="79"/>
        <item x="86"/>
        <item x="82"/>
        <item x="8"/>
        <item x="43"/>
        <item x="142"/>
        <item x="87"/>
        <item x="77"/>
        <item x="74"/>
        <item x="48"/>
        <item x="117"/>
        <item x="10"/>
        <item x="1"/>
        <item x="107"/>
        <item x="101"/>
        <item x="3"/>
        <item x="44"/>
        <item x="104"/>
        <item x="78"/>
        <item x="145"/>
        <item x="118"/>
        <item x="49"/>
        <item x="115"/>
        <item x="45"/>
        <item x="116"/>
        <item x="20"/>
        <item x="124"/>
        <item x="84"/>
        <item x="122"/>
        <item x="102"/>
        <item x="11"/>
        <item x="88"/>
        <item x="143"/>
        <item x="108"/>
        <item x="56"/>
        <item x="120"/>
        <item x="34"/>
        <item x="95"/>
        <item x="126"/>
        <item x="40"/>
        <item x="103"/>
        <item x="133"/>
        <item x="30"/>
        <item x="58"/>
        <item x="137"/>
        <item x="127"/>
        <item x="54"/>
        <item x="93"/>
        <item x="22"/>
        <item x="31"/>
        <item x="24"/>
        <item x="17"/>
        <item x="110"/>
        <item x="111"/>
        <item x="37"/>
        <item x="140"/>
        <item x="138"/>
        <item x="12"/>
        <item x="46"/>
        <item x="60"/>
        <item x="112"/>
        <item x="89"/>
        <item x="2"/>
        <item x="144"/>
        <item x="85"/>
        <item x="21"/>
        <item x="134"/>
        <item x="13"/>
        <item x="83"/>
        <item x="66"/>
        <item x="131"/>
        <item x="4"/>
        <item x="139"/>
        <item x="91"/>
        <item x="114"/>
        <item x="150"/>
        <item t="default"/>
      </items>
    </pivotField>
    <pivotField axis="axisRow" showAll="0">
      <items count="8">
        <item x="1"/>
        <item x="2"/>
        <item x="3"/>
        <item x="4"/>
        <item x="0"/>
        <item x="5"/>
        <item h="1" x="6"/>
        <item t="default"/>
      </items>
    </pivotField>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Fields count="1">
    <field x="-2"/>
  </colFields>
  <colItems count="3">
    <i>
      <x/>
    </i>
    <i i="1">
      <x v="1"/>
    </i>
    <i i="2">
      <x v="2"/>
    </i>
  </colItems>
  <dataFields count="3">
    <dataField name="Sum of Impressions" fld="3" baseField="0" baseItem="0"/>
    <dataField name="Sum of Clicks" fld="4" baseField="0" baseItem="0"/>
    <dataField name="Sum of Units Sold" fld="5" baseField="0" baseItem="0"/>
  </dataFields>
  <formats count="52">
    <format dxfId="19">
      <pivotArea type="all" dataOnly="0" outline="0" fieldPosition="0"/>
    </format>
    <format dxfId="20">
      <pivotArea outline="0" collapsedLevelsAreSubtotals="1" fieldPosition="0"/>
    </format>
    <format dxfId="21">
      <pivotArea field="1" type="button" dataOnly="0" labelOnly="1" outline="0" axis="axisRow" fieldPosition="0"/>
    </format>
    <format dxfId="22">
      <pivotArea dataOnly="0" labelOnly="1" fieldPosition="0">
        <references count="1">
          <reference field="1" count="0"/>
        </references>
      </pivotArea>
    </format>
    <format dxfId="23">
      <pivotArea dataOnly="0" labelOnly="1" grandRow="1" outline="0" fieldPosition="0"/>
    </format>
    <format dxfId="24">
      <pivotArea dataOnly="0" labelOnly="1" outline="0" fieldPosition="0">
        <references count="1">
          <reference field="4294967294" count="3">
            <x v="0"/>
            <x v="1"/>
            <x v="2"/>
          </reference>
        </references>
      </pivotArea>
    </format>
    <format dxfId="25">
      <pivotArea type="all" dataOnly="0" outline="0" fieldPosition="0"/>
    </format>
    <format dxfId="26">
      <pivotArea outline="0" collapsedLevelsAreSubtotals="1" fieldPosition="0"/>
    </format>
    <format dxfId="27">
      <pivotArea field="1" type="button" dataOnly="0" labelOnly="1" outline="0" axis="axisRow" fieldPosition="0"/>
    </format>
    <format dxfId="28">
      <pivotArea dataOnly="0" labelOnly="1" fieldPosition="0">
        <references count="1">
          <reference field="1" count="0"/>
        </references>
      </pivotArea>
    </format>
    <format dxfId="29">
      <pivotArea dataOnly="0" labelOnly="1" grandRow="1" outline="0" fieldPosition="0"/>
    </format>
    <format dxfId="30">
      <pivotArea dataOnly="0" labelOnly="1" outline="0" fieldPosition="0">
        <references count="1">
          <reference field="4294967294" count="3">
            <x v="0"/>
            <x v="1"/>
            <x v="2"/>
          </reference>
        </references>
      </pivotArea>
    </format>
    <format dxfId="31">
      <pivotArea type="all" dataOnly="0" outline="0" fieldPosition="0"/>
    </format>
    <format dxfId="32">
      <pivotArea outline="0" collapsedLevelsAreSubtotals="1" fieldPosition="0"/>
    </format>
    <format dxfId="33">
      <pivotArea field="1" type="button" dataOnly="0" labelOnly="1" outline="0" axis="axisRow" fieldPosition="0"/>
    </format>
    <format dxfId="34">
      <pivotArea dataOnly="0" labelOnly="1" fieldPosition="0">
        <references count="1">
          <reference field="1" count="0"/>
        </references>
      </pivotArea>
    </format>
    <format dxfId="35">
      <pivotArea dataOnly="0" labelOnly="1" grandRow="1" outline="0" fieldPosition="0"/>
    </format>
    <format dxfId="36">
      <pivotArea dataOnly="0" labelOnly="1" outline="0" fieldPosition="0">
        <references count="1">
          <reference field="4294967294" count="3">
            <x v="0"/>
            <x v="1"/>
            <x v="2"/>
          </reference>
        </references>
      </pivotArea>
    </format>
    <format dxfId="37">
      <pivotArea type="all" dataOnly="0" outline="0" fieldPosition="0"/>
    </format>
    <format dxfId="38">
      <pivotArea outline="0" collapsedLevelsAreSubtotals="1" fieldPosition="0"/>
    </format>
    <format dxfId="39">
      <pivotArea field="1" type="button" dataOnly="0" labelOnly="1" outline="0" axis="axisRow" fieldPosition="0"/>
    </format>
    <format dxfId="40">
      <pivotArea dataOnly="0" labelOnly="1" fieldPosition="0">
        <references count="1">
          <reference field="1" count="0"/>
        </references>
      </pivotArea>
    </format>
    <format dxfId="41">
      <pivotArea dataOnly="0" labelOnly="1" grandRow="1" outline="0" fieldPosition="0"/>
    </format>
    <format dxfId="42">
      <pivotArea dataOnly="0" labelOnly="1" outline="0" fieldPosition="0">
        <references count="1">
          <reference field="4294967294" count="3">
            <x v="0"/>
            <x v="1"/>
            <x v="2"/>
          </reference>
        </references>
      </pivotArea>
    </format>
    <format dxfId="43">
      <pivotArea type="all" dataOnly="0" outline="0" fieldPosition="0"/>
    </format>
    <format dxfId="44">
      <pivotArea outline="0" collapsedLevelsAreSubtotals="1" fieldPosition="0"/>
    </format>
    <format dxfId="45">
      <pivotArea field="1" type="button" dataOnly="0" labelOnly="1" outline="0" axis="axisRow" fieldPosition="0"/>
    </format>
    <format dxfId="46">
      <pivotArea dataOnly="0" labelOnly="1" outline="0" fieldPosition="0">
        <references count="1">
          <reference field="4294967294" count="3">
            <x v="0"/>
            <x v="1"/>
            <x v="2"/>
          </reference>
        </references>
      </pivotArea>
    </format>
    <format dxfId="47">
      <pivotArea field="1" type="button" dataOnly="0" labelOnly="1" outline="0" axis="axisRow" fieldPosition="0"/>
    </format>
    <format dxfId="48">
      <pivotArea dataOnly="0" labelOnly="1" outline="0" fieldPosition="0">
        <references count="1">
          <reference field="4294967294" count="3">
            <x v="0"/>
            <x v="1"/>
            <x v="2"/>
          </reference>
        </references>
      </pivotArea>
    </format>
    <format dxfId="49">
      <pivotArea field="1" type="button" dataOnly="0" labelOnly="1" outline="0" axis="axisRow" fieldPosition="0"/>
    </format>
    <format dxfId="50">
      <pivotArea dataOnly="0" labelOnly="1" outline="0" fieldPosition="0">
        <references count="1">
          <reference field="4294967294" count="3">
            <x v="0"/>
            <x v="1"/>
            <x v="2"/>
          </reference>
        </references>
      </pivotArea>
    </format>
    <format dxfId="51">
      <pivotArea field="1" type="button" dataOnly="0" labelOnly="1" outline="0" axis="axisRow" fieldPosition="0"/>
    </format>
    <format dxfId="52">
      <pivotArea dataOnly="0" labelOnly="1" outline="0" fieldPosition="0">
        <references count="1">
          <reference field="4294967294" count="3">
            <x v="0"/>
            <x v="1"/>
            <x v="2"/>
          </reference>
        </references>
      </pivotArea>
    </format>
    <format dxfId="53">
      <pivotArea outline="0" collapsedLevelsAreSubtotals="1" fieldPosition="0"/>
    </format>
    <format dxfId="54">
      <pivotArea field="1" type="button" dataOnly="0" labelOnly="1" outline="0" axis="axisRow" fieldPosition="0"/>
    </format>
    <format dxfId="55">
      <pivotArea dataOnly="0" labelOnly="1" outline="0" fieldPosition="0">
        <references count="1">
          <reference field="4294967294" count="3">
            <x v="0"/>
            <x v="1"/>
            <x v="2"/>
          </reference>
        </references>
      </pivotArea>
    </format>
    <format dxfId="56">
      <pivotArea outline="0" collapsedLevelsAreSubtotals="1" fieldPosition="0"/>
    </format>
    <format dxfId="57">
      <pivotArea dataOnly="0" labelOnly="1" fieldPosition="0">
        <references count="1">
          <reference field="1" count="0"/>
        </references>
      </pivotArea>
    </format>
    <format dxfId="58">
      <pivotArea dataOnly="0" labelOnly="1" grandRow="1" outline="0" fieldPosition="0"/>
    </format>
    <format dxfId="59">
      <pivotArea grandRow="1" outline="0" collapsedLevelsAreSubtotals="1" fieldPosition="0"/>
    </format>
    <format dxfId="60">
      <pivotArea dataOnly="0" labelOnly="1" grandRow="1" outline="0" fieldPosition="0"/>
    </format>
    <format dxfId="61">
      <pivotArea field="1" type="button" dataOnly="0" labelOnly="1" outline="0" axis="axisRow" fieldPosition="0"/>
    </format>
    <format dxfId="62">
      <pivotArea dataOnly="0" labelOnly="1" outline="0" fieldPosition="0">
        <references count="1">
          <reference field="4294967294" count="3">
            <x v="0"/>
            <x v="1"/>
            <x v="2"/>
          </reference>
        </references>
      </pivotArea>
    </format>
    <format dxfId="63">
      <pivotArea grandRow="1" outline="0" collapsedLevelsAreSubtotals="1" fieldPosition="0"/>
    </format>
    <format dxfId="64">
      <pivotArea dataOnly="0" labelOnly="1" grandRow="1" outline="0" fieldPosition="0"/>
    </format>
    <format dxfId="13">
      <pivotArea field="1" type="button" dataOnly="0" labelOnly="1" outline="0" axis="axisRow" fieldPosition="0"/>
    </format>
    <format dxfId="12">
      <pivotArea dataOnly="0" labelOnly="1" outline="0" fieldPosition="0">
        <references count="1">
          <reference field="4294967294" count="3">
            <x v="0"/>
            <x v="1"/>
            <x v="2"/>
          </reference>
        </references>
      </pivotArea>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3A98C6-8BDE-41B7-A6F1-EFBA4E0015E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D22" firstHeaderRow="0" firstDataRow="1" firstDataCol="1"/>
  <pivotFields count="8">
    <pivotField showAll="0">
      <items count="152">
        <item x="18"/>
        <item x="109"/>
        <item x="67"/>
        <item x="128"/>
        <item x="63"/>
        <item x="9"/>
        <item x="106"/>
        <item x="41"/>
        <item x="98"/>
        <item x="75"/>
        <item x="50"/>
        <item x="6"/>
        <item x="72"/>
        <item x="32"/>
        <item x="68"/>
        <item x="119"/>
        <item x="62"/>
        <item x="147"/>
        <item x="25"/>
        <item x="135"/>
        <item x="99"/>
        <item x="125"/>
        <item x="69"/>
        <item x="38"/>
        <item x="105"/>
        <item x="28"/>
        <item x="129"/>
        <item x="121"/>
        <item x="148"/>
        <item x="64"/>
        <item x="141"/>
        <item x="7"/>
        <item x="35"/>
        <item x="39"/>
        <item x="52"/>
        <item x="136"/>
        <item x="149"/>
        <item x="100"/>
        <item x="55"/>
        <item x="19"/>
        <item x="61"/>
        <item x="33"/>
        <item x="57"/>
        <item x="80"/>
        <item x="0"/>
        <item x="113"/>
        <item x="5"/>
        <item x="36"/>
        <item x="23"/>
        <item x="92"/>
        <item x="97"/>
        <item x="130"/>
        <item x="14"/>
        <item x="70"/>
        <item x="15"/>
        <item x="42"/>
        <item x="96"/>
        <item x="76"/>
        <item x="123"/>
        <item x="16"/>
        <item x="29"/>
        <item x="71"/>
        <item x="146"/>
        <item x="27"/>
        <item x="81"/>
        <item x="51"/>
        <item x="47"/>
        <item x="53"/>
        <item x="73"/>
        <item x="59"/>
        <item x="65"/>
        <item x="26"/>
        <item x="90"/>
        <item x="132"/>
        <item x="94"/>
        <item x="79"/>
        <item x="86"/>
        <item x="82"/>
        <item x="8"/>
        <item x="43"/>
        <item x="142"/>
        <item x="87"/>
        <item x="77"/>
        <item x="74"/>
        <item x="48"/>
        <item x="117"/>
        <item x="10"/>
        <item x="1"/>
        <item x="107"/>
        <item x="101"/>
        <item x="3"/>
        <item x="44"/>
        <item x="104"/>
        <item x="78"/>
        <item x="145"/>
        <item x="118"/>
        <item x="49"/>
        <item x="115"/>
        <item x="45"/>
        <item x="116"/>
        <item x="20"/>
        <item x="124"/>
        <item x="84"/>
        <item x="122"/>
        <item x="102"/>
        <item x="11"/>
        <item x="88"/>
        <item x="143"/>
        <item x="108"/>
        <item x="56"/>
        <item x="120"/>
        <item x="34"/>
        <item x="95"/>
        <item x="126"/>
        <item x="40"/>
        <item x="103"/>
        <item x="133"/>
        <item x="30"/>
        <item x="58"/>
        <item x="137"/>
        <item x="127"/>
        <item x="54"/>
        <item x="93"/>
        <item x="22"/>
        <item x="31"/>
        <item x="24"/>
        <item x="17"/>
        <item x="110"/>
        <item x="111"/>
        <item x="37"/>
        <item x="140"/>
        <item x="138"/>
        <item x="12"/>
        <item x="46"/>
        <item x="60"/>
        <item x="112"/>
        <item x="89"/>
        <item x="2"/>
        <item x="144"/>
        <item x="85"/>
        <item x="21"/>
        <item x="134"/>
        <item x="13"/>
        <item x="83"/>
        <item x="66"/>
        <item x="131"/>
        <item x="4"/>
        <item x="139"/>
        <item x="91"/>
        <item x="114"/>
        <item x="150"/>
        <item t="default"/>
      </items>
    </pivotField>
    <pivotField showAll="0"/>
    <pivotField axis="axisRow" showAll="0">
      <items count="7">
        <item x="0"/>
        <item x="1"/>
        <item x="2"/>
        <item x="3"/>
        <item x="4"/>
        <item h="1" x="5"/>
        <item t="default"/>
      </items>
    </pivotField>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Fields count="1">
    <field x="-2"/>
  </colFields>
  <colItems count="3">
    <i>
      <x/>
    </i>
    <i i="1">
      <x v="1"/>
    </i>
    <i i="2">
      <x v="2"/>
    </i>
  </colItems>
  <dataFields count="3">
    <dataField name="Sum of Impressions" fld="3" baseField="0" baseItem="0"/>
    <dataField name="Sum of Clicks" fld="4" baseField="0" baseItem="0"/>
    <dataField name="Sum of Units Sold" fld="5" baseField="0" baseItem="0"/>
  </dataFields>
  <formats count="5">
    <format dxfId="115">
      <pivotArea outline="0" collapsedLevelsAreSubtotals="1" fieldPosition="0"/>
    </format>
    <format dxfId="68">
      <pivotArea field="2" type="button" dataOnly="0" labelOnly="1" outline="0" axis="axisRow" fieldPosition="0"/>
    </format>
    <format dxfId="67">
      <pivotArea dataOnly="0" labelOnly="1" outline="0" fieldPosition="0">
        <references count="1">
          <reference field="4294967294" count="3">
            <x v="0"/>
            <x v="1"/>
            <x v="2"/>
          </reference>
        </references>
      </pivotArea>
    </format>
    <format dxfId="66">
      <pivotArea grandRow="1" outline="0" collapsedLevelsAreSubtotals="1" fieldPosition="0"/>
    </format>
    <format dxfId="6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747116-1F94-4B9A-9922-1E16A3B486F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8" firstHeaderRow="0" firstDataRow="1" firstDataCol="1"/>
  <pivotFields count="8">
    <pivotField showAll="0">
      <items count="152">
        <item x="18"/>
        <item x="109"/>
        <item x="67"/>
        <item x="128"/>
        <item x="63"/>
        <item x="9"/>
        <item x="106"/>
        <item x="41"/>
        <item x="98"/>
        <item x="75"/>
        <item x="50"/>
        <item x="6"/>
        <item x="72"/>
        <item x="32"/>
        <item x="68"/>
        <item x="119"/>
        <item x="62"/>
        <item x="147"/>
        <item x="25"/>
        <item x="135"/>
        <item x="99"/>
        <item x="125"/>
        <item x="69"/>
        <item x="38"/>
        <item x="105"/>
        <item x="28"/>
        <item x="129"/>
        <item x="121"/>
        <item x="148"/>
        <item x="64"/>
        <item x="141"/>
        <item x="7"/>
        <item x="35"/>
        <item x="39"/>
        <item x="52"/>
        <item x="136"/>
        <item x="149"/>
        <item x="100"/>
        <item x="55"/>
        <item x="19"/>
        <item x="61"/>
        <item x="33"/>
        <item x="57"/>
        <item x="80"/>
        <item x="0"/>
        <item x="113"/>
        <item x="5"/>
        <item x="36"/>
        <item x="23"/>
        <item x="92"/>
        <item x="97"/>
        <item x="130"/>
        <item x="14"/>
        <item x="70"/>
        <item x="15"/>
        <item x="42"/>
        <item x="96"/>
        <item x="76"/>
        <item x="123"/>
        <item x="16"/>
        <item x="29"/>
        <item x="71"/>
        <item x="146"/>
        <item x="27"/>
        <item x="81"/>
        <item x="51"/>
        <item x="47"/>
        <item x="53"/>
        <item x="73"/>
        <item x="59"/>
        <item x="65"/>
        <item x="26"/>
        <item x="90"/>
        <item x="132"/>
        <item x="94"/>
        <item x="79"/>
        <item x="86"/>
        <item x="82"/>
        <item x="8"/>
        <item x="43"/>
        <item x="142"/>
        <item x="87"/>
        <item x="77"/>
        <item x="74"/>
        <item x="48"/>
        <item x="117"/>
        <item x="10"/>
        <item x="1"/>
        <item x="107"/>
        <item x="101"/>
        <item x="3"/>
        <item x="44"/>
        <item x="104"/>
        <item x="78"/>
        <item x="145"/>
        <item x="118"/>
        <item x="49"/>
        <item x="115"/>
        <item x="45"/>
        <item x="116"/>
        <item x="20"/>
        <item x="124"/>
        <item x="84"/>
        <item x="122"/>
        <item x="102"/>
        <item x="11"/>
        <item x="88"/>
        <item x="143"/>
        <item x="108"/>
        <item x="56"/>
        <item x="120"/>
        <item x="34"/>
        <item x="95"/>
        <item x="126"/>
        <item x="40"/>
        <item x="103"/>
        <item x="133"/>
        <item x="30"/>
        <item x="58"/>
        <item x="137"/>
        <item x="127"/>
        <item x="54"/>
        <item x="93"/>
        <item x="22"/>
        <item x="31"/>
        <item x="24"/>
        <item x="17"/>
        <item x="110"/>
        <item x="111"/>
        <item x="37"/>
        <item x="140"/>
        <item x="138"/>
        <item x="12"/>
        <item x="46"/>
        <item x="60"/>
        <item x="112"/>
        <item x="89"/>
        <item x="2"/>
        <item x="144"/>
        <item x="85"/>
        <item x="21"/>
        <item x="134"/>
        <item x="13"/>
        <item x="83"/>
        <item x="66"/>
        <item x="131"/>
        <item x="4"/>
        <item x="139"/>
        <item x="91"/>
        <item x="114"/>
        <item x="150"/>
        <item t="default"/>
      </items>
    </pivotField>
    <pivotField axis="axisRow" showAll="0">
      <items count="8">
        <item x="1"/>
        <item x="2"/>
        <item x="3"/>
        <item x="4"/>
        <item x="0"/>
        <item x="5"/>
        <item h="1" x="6"/>
        <item t="default"/>
      </items>
    </pivotField>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Fields count="1">
    <field x="-2"/>
  </colFields>
  <colItems count="3">
    <i>
      <x/>
    </i>
    <i i="1">
      <x v="1"/>
    </i>
    <i i="2">
      <x v="2"/>
    </i>
  </colItems>
  <dataFields count="3">
    <dataField name="Sum of Impressions" fld="3" baseField="0" baseItem="0"/>
    <dataField name="Sum of Clicks" fld="4" baseField="0" baseItem="0"/>
    <dataField name="Sum of Units Sold" fld="5" baseField="0" baseItem="0"/>
  </dataFields>
  <formats count="46">
    <format dxfId="114">
      <pivotArea type="all" dataOnly="0" outline="0" fieldPosition="0"/>
    </format>
    <format dxfId="113">
      <pivotArea outline="0" collapsedLevelsAreSubtotals="1" fieldPosition="0"/>
    </format>
    <format dxfId="112">
      <pivotArea field="1" type="button" dataOnly="0" labelOnly="1" outline="0" axis="axisRow" fieldPosition="0"/>
    </format>
    <format dxfId="111">
      <pivotArea dataOnly="0" labelOnly="1" fieldPosition="0">
        <references count="1">
          <reference field="1" count="0"/>
        </references>
      </pivotArea>
    </format>
    <format dxfId="110">
      <pivotArea dataOnly="0" labelOnly="1" grandRow="1" outline="0" fieldPosition="0"/>
    </format>
    <format dxfId="109">
      <pivotArea dataOnly="0" labelOnly="1" outline="0" fieldPosition="0">
        <references count="1">
          <reference field="4294967294" count="3">
            <x v="0"/>
            <x v="1"/>
            <x v="2"/>
          </reference>
        </references>
      </pivotArea>
    </format>
    <format dxfId="108">
      <pivotArea type="all" dataOnly="0" outline="0" fieldPosition="0"/>
    </format>
    <format dxfId="107">
      <pivotArea outline="0" collapsedLevelsAreSubtotals="1" fieldPosition="0"/>
    </format>
    <format dxfId="106">
      <pivotArea field="1" type="button" dataOnly="0" labelOnly="1" outline="0" axis="axisRow" fieldPosition="0"/>
    </format>
    <format dxfId="105">
      <pivotArea dataOnly="0" labelOnly="1" fieldPosition="0">
        <references count="1">
          <reference field="1" count="0"/>
        </references>
      </pivotArea>
    </format>
    <format dxfId="104">
      <pivotArea dataOnly="0" labelOnly="1" grandRow="1" outline="0" fieldPosition="0"/>
    </format>
    <format dxfId="103">
      <pivotArea dataOnly="0" labelOnly="1" outline="0" fieldPosition="0">
        <references count="1">
          <reference field="4294967294" count="3">
            <x v="0"/>
            <x v="1"/>
            <x v="2"/>
          </reference>
        </references>
      </pivotArea>
    </format>
    <format dxfId="102">
      <pivotArea type="all" dataOnly="0" outline="0" fieldPosition="0"/>
    </format>
    <format dxfId="101">
      <pivotArea outline="0" collapsedLevelsAreSubtotals="1" fieldPosition="0"/>
    </format>
    <format dxfId="100">
      <pivotArea field="1" type="button" dataOnly="0" labelOnly="1" outline="0" axis="axisRow" fieldPosition="0"/>
    </format>
    <format dxfId="99">
      <pivotArea dataOnly="0" labelOnly="1" fieldPosition="0">
        <references count="1">
          <reference field="1" count="0"/>
        </references>
      </pivotArea>
    </format>
    <format dxfId="98">
      <pivotArea dataOnly="0" labelOnly="1" grandRow="1" outline="0" fieldPosition="0"/>
    </format>
    <format dxfId="97">
      <pivotArea dataOnly="0" labelOnly="1" outline="0" fieldPosition="0">
        <references count="1">
          <reference field="4294967294" count="3">
            <x v="0"/>
            <x v="1"/>
            <x v="2"/>
          </reference>
        </references>
      </pivotArea>
    </format>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fieldPosition="0">
        <references count="1">
          <reference field="4294967294" count="3">
            <x v="0"/>
            <x v="1"/>
            <x v="2"/>
          </reference>
        </references>
      </pivotArea>
    </format>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outline="0" fieldPosition="0">
        <references count="1">
          <reference field="4294967294" count="3">
            <x v="0"/>
            <x v="1"/>
            <x v="2"/>
          </reference>
        </references>
      </pivotArea>
    </format>
    <format dxfId="86">
      <pivotArea field="1" type="button" dataOnly="0" labelOnly="1" outline="0" axis="axisRow" fieldPosition="0"/>
    </format>
    <format dxfId="85">
      <pivotArea dataOnly="0" labelOnly="1" outline="0" fieldPosition="0">
        <references count="1">
          <reference field="4294967294" count="3">
            <x v="0"/>
            <x v="1"/>
            <x v="2"/>
          </reference>
        </references>
      </pivotArea>
    </format>
    <format dxfId="84">
      <pivotArea field="1" type="button" dataOnly="0" labelOnly="1" outline="0" axis="axisRow" fieldPosition="0"/>
    </format>
    <format dxfId="83">
      <pivotArea dataOnly="0" labelOnly="1" outline="0" fieldPosition="0">
        <references count="1">
          <reference field="4294967294" count="3">
            <x v="0"/>
            <x v="1"/>
            <x v="2"/>
          </reference>
        </references>
      </pivotArea>
    </format>
    <format dxfId="82">
      <pivotArea field="1" type="button" dataOnly="0" labelOnly="1" outline="0" axis="axisRow" fieldPosition="0"/>
    </format>
    <format dxfId="81">
      <pivotArea dataOnly="0" labelOnly="1" outline="0" fieldPosition="0">
        <references count="1">
          <reference field="4294967294" count="3">
            <x v="0"/>
            <x v="1"/>
            <x v="2"/>
          </reference>
        </references>
      </pivotArea>
    </format>
    <format dxfId="80">
      <pivotArea outline="0" collapsedLevelsAreSubtotals="1" fieldPosition="0"/>
    </format>
    <format dxfId="79">
      <pivotArea field="1" type="button" dataOnly="0" labelOnly="1" outline="0" axis="axisRow" fieldPosition="0"/>
    </format>
    <format dxfId="78">
      <pivotArea dataOnly="0" labelOnly="1" outline="0" fieldPosition="0">
        <references count="1">
          <reference field="4294967294" count="3">
            <x v="0"/>
            <x v="1"/>
            <x v="2"/>
          </reference>
        </references>
      </pivotArea>
    </format>
    <format dxfId="77">
      <pivotArea outline="0" collapsedLevelsAreSubtotals="1" fieldPosition="0"/>
    </format>
    <format dxfId="76">
      <pivotArea dataOnly="0" labelOnly="1" fieldPosition="0">
        <references count="1">
          <reference field="1" count="0"/>
        </references>
      </pivotArea>
    </format>
    <format dxfId="75">
      <pivotArea dataOnly="0" labelOnly="1" grandRow="1" outline="0" fieldPosition="0"/>
    </format>
    <format dxfId="74">
      <pivotArea grandRow="1" outline="0" collapsedLevelsAreSubtotals="1" fieldPosition="0"/>
    </format>
    <format dxfId="73">
      <pivotArea dataOnly="0" labelOnly="1" grandRow="1" outline="0" fieldPosition="0"/>
    </format>
    <format dxfId="72">
      <pivotArea field="1" type="button" dataOnly="0" labelOnly="1" outline="0" axis="axisRow" fieldPosition="0"/>
    </format>
    <format dxfId="71">
      <pivotArea dataOnly="0" labelOnly="1" outline="0" fieldPosition="0">
        <references count="1">
          <reference field="4294967294" count="3">
            <x v="0"/>
            <x v="1"/>
            <x v="2"/>
          </reference>
        </references>
      </pivotArea>
    </format>
    <format dxfId="70">
      <pivotArea grandRow="1" outline="0" collapsedLevelsAreSubtotals="1" fieldPosition="0"/>
    </format>
    <format dxfId="69">
      <pivotArea dataOnly="0" labelOnly="1" grandRow="1" outline="0"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9C5E91-7F2F-42DF-B0EE-211991FD6796}" autoFormatId="16" applyNumberFormats="0" applyBorderFormats="0" applyFontFormats="0" applyPatternFormats="0" applyAlignmentFormats="0" applyWidthHeightFormats="0">
  <queryTableRefresh nextId="9">
    <queryTableFields count="6">
      <queryTableField id="1" name="Date" tableColumnId="1"/>
      <queryTableField id="2" name="Campaign Name" tableColumnId="2"/>
      <queryTableField id="3" name="Location" tableColumnId="3"/>
      <queryTableField id="4" name="Impressions" tableColumnId="4"/>
      <queryTableField id="5" name="Clicks" tableColumnId="5"/>
      <queryTableField id="6" name="Units Sol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B5F4A4A-4E17-4BE9-8809-2F6320227E44}" sourceName="Location">
  <pivotTables>
    <pivotTable tabId="4" name="PivotTable1"/>
    <pivotTable tabId="4" name="PivotTable6"/>
  </pivotTables>
  <data>
    <tabular pivotCacheId="1647897387">
      <items count="6">
        <i x="0" s="1"/>
        <i x="1" s="1"/>
        <i x="2"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98054AEF-31B3-4F23-95EA-DA302212C331}" sourceName="Campaign Name">
  <pivotTables>
    <pivotTable tabId="4" name="PivotTable3"/>
  </pivotTables>
  <data>
    <tabular pivotCacheId="1213667792">
      <items count="7">
        <i x="1" s="1"/>
        <i x="2" s="1"/>
        <i x="3" s="1"/>
        <i x="4" s="1"/>
        <i x="0" s="1"/>
        <i x="5"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2F72646E-5380-4DD7-9AB4-D327125FBFE9}" sourceName="Location">
  <pivotTables>
    <pivotTable tabId="4" name="PivotTable3"/>
  </pivotTables>
  <data>
    <tabular pivotCacheId="1213667792">
      <items count="6">
        <i x="0" s="1"/>
        <i x="1" s="1"/>
        <i x="2"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BC932DF6-85FE-4974-8472-A227FB93C5AA}" cache="Slicer_Location" caption="Location" rowHeight="241300"/>
  <slicer name="Campaign Name" xr10:uid="{AF6A8C07-114B-4A18-A6AA-92D6AE979CDD}" cache="Slicer_Campaign_Name" caption="Campaign Name" rowHeight="230716"/>
  <slicer name="Location 1" xr10:uid="{4E0A2B08-7E13-411F-A118-BC76DD1511AA}" cache="Slicer_Location1" caption="Location"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9EF375-B7C9-4F39-8482-763055BD6382}" name="Campaign_Metrics" displayName="Campaign_Metrics" ref="A1:F155" tableType="queryTable" totalsRowShown="0">
  <autoFilter ref="A1:F155" xr:uid="{E89EF375-B7C9-4F39-8482-763055BD6382}"/>
  <tableColumns count="6">
    <tableColumn id="1" xr3:uid="{52B8DFC9-08DA-47C7-9E1F-F1C70368D243}" uniqueName="1" name="Date" queryTableFieldId="1" dataDxfId="125"/>
    <tableColumn id="2" xr3:uid="{2C273AC4-82F7-4204-8822-B44A084E04BD}" uniqueName="2" name="Campaign Name" queryTableFieldId="2" dataDxfId="124"/>
    <tableColumn id="3" xr3:uid="{D676C476-2FC8-4C78-894C-00529D9D0BA2}" uniqueName="3" name="Location" queryTableFieldId="3" dataDxfId="123"/>
    <tableColumn id="4" xr3:uid="{F5B8F0A6-542F-4938-94F1-1E03D3608BEB}" uniqueName="4" name="Impressions" queryTableFieldId="4"/>
    <tableColumn id="5" xr3:uid="{259A11DB-B2AB-4143-A843-091F41B7B7BE}" uniqueName="5" name="Clicks" queryTableFieldId="5"/>
    <tableColumn id="6" xr3:uid="{BC7B4CA7-4802-457A-A1E1-CAEADFD76B66}" uniqueName="6" name="Units Sold" queryTableField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2F626E-2C33-450D-B109-99F1C15FC252}" name="Table2" displayName="Table2" ref="E235:E242" totalsRowShown="0" dataDxfId="119" dataCellStyle="Percent">
  <autoFilter ref="E235:E242" xr:uid="{F82F626E-2C33-450D-B109-99F1C15FC252}"/>
  <sortState xmlns:xlrd2="http://schemas.microsoft.com/office/spreadsheetml/2017/richdata2" ref="E236:E242">
    <sortCondition descending="1" ref="E235:E242"/>
  </sortState>
  <tableColumns count="1">
    <tableColumn id="1" xr3:uid="{08710049-FF87-44FD-B036-C28A4C1D2A9B}" name="Conversion Rate per Campaign" dataDxfId="118" dataCellStyle="Percent">
      <calculatedColumnFormula>B236/D236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57A2D0-47F4-4046-8052-860ABA354DE7}" name="Table3" displayName="Table3" ref="F254:F260" totalsRowShown="0" dataDxfId="117" dataCellStyle="Percent">
  <autoFilter ref="F254:F260" xr:uid="{C057A2D0-47F4-4046-8052-860ABA354DE7}"/>
  <tableColumns count="1">
    <tableColumn id="1" xr3:uid="{439DF112-CA23-44B8-AFF9-12871BAE734E}" name="Conversion Rate per Location" dataDxfId="116" dataCellStyle="Percent">
      <calculatedColumnFormula>C255/D255</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3397-BA4A-4CF9-981A-2A6D5BD9523E}">
  <dimension ref="A1:I155"/>
  <sheetViews>
    <sheetView workbookViewId="0">
      <selection sqref="A1:XFD1048576"/>
    </sheetView>
  </sheetViews>
  <sheetFormatPr defaultRowHeight="14" x14ac:dyDescent="0.35"/>
  <cols>
    <col min="1" max="1" width="12.59765625" style="6" customWidth="1"/>
    <col min="2" max="2" width="21.19921875" customWidth="1"/>
    <col min="3" max="3" width="15.69921875" customWidth="1"/>
    <col min="4" max="4" width="13.296875" customWidth="1"/>
    <col min="5" max="5" width="7.69921875" customWidth="1"/>
    <col min="6" max="6" width="11.3984375" customWidth="1"/>
    <col min="7" max="7" width="16.796875" style="3" customWidth="1"/>
    <col min="8" max="8" width="12.5" customWidth="1"/>
    <col min="9" max="9" width="29.19921875" customWidth="1"/>
  </cols>
  <sheetData>
    <row r="1" spans="1:9" ht="14.5" x14ac:dyDescent="0.35">
      <c r="A1" s="6" t="s">
        <v>0</v>
      </c>
      <c r="B1" t="s">
        <v>1</v>
      </c>
      <c r="C1" t="s">
        <v>2</v>
      </c>
      <c r="D1" t="s">
        <v>3</v>
      </c>
      <c r="E1" t="s">
        <v>4</v>
      </c>
      <c r="F1" t="s">
        <v>5</v>
      </c>
      <c r="G1"/>
    </row>
    <row r="2" spans="1:9" ht="14.5" x14ac:dyDescent="0.35">
      <c r="A2" s="6">
        <v>45914</v>
      </c>
      <c r="B2" t="s">
        <v>6</v>
      </c>
      <c r="C2" t="s">
        <v>7</v>
      </c>
      <c r="D2">
        <v>5704</v>
      </c>
      <c r="E2">
        <v>183</v>
      </c>
      <c r="G2"/>
      <c r="I2" s="5"/>
    </row>
    <row r="3" spans="1:9" ht="14.5" x14ac:dyDescent="0.35">
      <c r="A3" s="6">
        <v>45957</v>
      </c>
      <c r="B3" t="s">
        <v>6</v>
      </c>
      <c r="C3" t="s">
        <v>7</v>
      </c>
      <c r="D3">
        <v>3016</v>
      </c>
      <c r="E3">
        <v>376</v>
      </c>
      <c r="G3"/>
      <c r="I3" s="5"/>
    </row>
    <row r="4" spans="1:9" ht="14.5" x14ac:dyDescent="0.35">
      <c r="A4" s="6">
        <v>46007</v>
      </c>
      <c r="B4" t="s">
        <v>6</v>
      </c>
      <c r="C4" t="s">
        <v>7</v>
      </c>
      <c r="D4">
        <v>5493</v>
      </c>
      <c r="E4">
        <v>161</v>
      </c>
      <c r="F4">
        <v>102</v>
      </c>
      <c r="G4"/>
      <c r="I4" s="5"/>
    </row>
    <row r="5" spans="1:9" ht="14.5" x14ac:dyDescent="0.35">
      <c r="A5" s="6">
        <v>45960</v>
      </c>
      <c r="B5" t="s">
        <v>6</v>
      </c>
      <c r="C5" t="s">
        <v>7</v>
      </c>
      <c r="D5">
        <v>4831</v>
      </c>
      <c r="E5">
        <v>105</v>
      </c>
      <c r="G5"/>
      <c r="I5" s="5"/>
    </row>
    <row r="6" spans="1:9" ht="14.5" x14ac:dyDescent="0.35">
      <c r="A6" s="6">
        <v>46016</v>
      </c>
      <c r="B6" t="s">
        <v>6</v>
      </c>
      <c r="C6" t="s">
        <v>7</v>
      </c>
      <c r="D6">
        <v>4808</v>
      </c>
      <c r="E6">
        <v>367</v>
      </c>
      <c r="F6">
        <v>50</v>
      </c>
      <c r="G6"/>
      <c r="I6" s="5"/>
    </row>
    <row r="7" spans="1:9" ht="14.5" x14ac:dyDescent="0.35">
      <c r="A7" s="6">
        <v>45916</v>
      </c>
      <c r="B7" t="s">
        <v>6</v>
      </c>
      <c r="C7" t="s">
        <v>8</v>
      </c>
      <c r="D7">
        <v>2154</v>
      </c>
      <c r="E7">
        <v>466</v>
      </c>
      <c r="F7">
        <v>2</v>
      </c>
      <c r="G7"/>
      <c r="I7" s="5"/>
    </row>
    <row r="8" spans="1:9" ht="14.5" x14ac:dyDescent="0.35">
      <c r="A8" s="6">
        <v>45881</v>
      </c>
      <c r="B8" t="s">
        <v>6</v>
      </c>
      <c r="C8" t="s">
        <v>8</v>
      </c>
      <c r="D8">
        <v>4977</v>
      </c>
      <c r="E8">
        <v>282</v>
      </c>
      <c r="F8">
        <v>64</v>
      </c>
      <c r="G8"/>
      <c r="I8" s="5"/>
    </row>
    <row r="9" spans="1:9" ht="14.5" x14ac:dyDescent="0.35">
      <c r="A9" s="6">
        <v>45901</v>
      </c>
      <c r="B9" t="s">
        <v>6</v>
      </c>
      <c r="C9" t="s">
        <v>8</v>
      </c>
      <c r="D9">
        <v>6977</v>
      </c>
      <c r="E9">
        <v>437</v>
      </c>
      <c r="F9">
        <v>27</v>
      </c>
      <c r="G9"/>
    </row>
    <row r="10" spans="1:9" ht="14.5" x14ac:dyDescent="0.35">
      <c r="A10" s="6">
        <v>45948</v>
      </c>
      <c r="B10" t="s">
        <v>6</v>
      </c>
      <c r="C10" t="s">
        <v>8</v>
      </c>
      <c r="D10">
        <v>5050</v>
      </c>
      <c r="E10">
        <v>171</v>
      </c>
      <c r="F10">
        <v>123</v>
      </c>
      <c r="G10"/>
    </row>
    <row r="11" spans="1:9" ht="14.5" x14ac:dyDescent="0.35">
      <c r="A11" s="6">
        <v>45875</v>
      </c>
      <c r="B11" t="s">
        <v>6</v>
      </c>
      <c r="C11" t="s">
        <v>9</v>
      </c>
      <c r="D11">
        <v>3290</v>
      </c>
      <c r="E11">
        <v>277</v>
      </c>
      <c r="F11">
        <v>51</v>
      </c>
      <c r="G11"/>
    </row>
    <row r="12" spans="1:9" ht="14.5" x14ac:dyDescent="0.35">
      <c r="A12" s="6">
        <v>45956</v>
      </c>
      <c r="B12" t="s">
        <v>6</v>
      </c>
      <c r="C12" t="s">
        <v>9</v>
      </c>
      <c r="D12">
        <v>6208</v>
      </c>
      <c r="E12">
        <v>221</v>
      </c>
      <c r="F12">
        <v>153</v>
      </c>
      <c r="G12"/>
    </row>
    <row r="13" spans="1:9" ht="14.5" x14ac:dyDescent="0.35">
      <c r="A13" s="6">
        <v>45975</v>
      </c>
      <c r="B13" t="s">
        <v>6</v>
      </c>
      <c r="C13" t="s">
        <v>9</v>
      </c>
      <c r="D13">
        <v>6409</v>
      </c>
      <c r="E13">
        <v>202</v>
      </c>
      <c r="F13">
        <v>178</v>
      </c>
      <c r="G13"/>
    </row>
    <row r="14" spans="1:9" ht="14.5" x14ac:dyDescent="0.35">
      <c r="A14" s="6">
        <v>46002</v>
      </c>
      <c r="B14" t="s">
        <v>6</v>
      </c>
      <c r="C14" t="s">
        <v>9</v>
      </c>
      <c r="D14">
        <v>6783</v>
      </c>
      <c r="E14">
        <v>230</v>
      </c>
      <c r="F14">
        <v>45</v>
      </c>
      <c r="G14"/>
    </row>
    <row r="15" spans="1:9" ht="14.5" x14ac:dyDescent="0.35">
      <c r="A15" s="6">
        <v>46012</v>
      </c>
      <c r="B15" t="s">
        <v>6</v>
      </c>
      <c r="C15" t="s">
        <v>9</v>
      </c>
      <c r="D15">
        <v>4829</v>
      </c>
      <c r="E15">
        <v>440</v>
      </c>
      <c r="F15">
        <v>98</v>
      </c>
      <c r="G15"/>
    </row>
    <row r="16" spans="1:9" ht="14.5" x14ac:dyDescent="0.35">
      <c r="A16" s="6">
        <v>45922</v>
      </c>
      <c r="B16" t="s">
        <v>6</v>
      </c>
      <c r="C16" t="s">
        <v>9</v>
      </c>
      <c r="D16">
        <v>3267</v>
      </c>
      <c r="E16">
        <v>125</v>
      </c>
      <c r="F16">
        <v>80</v>
      </c>
      <c r="G16"/>
    </row>
    <row r="17" spans="1:7" ht="14.5" x14ac:dyDescent="0.35">
      <c r="A17" s="6">
        <v>45924</v>
      </c>
      <c r="B17" t="s">
        <v>6</v>
      </c>
      <c r="C17" t="s">
        <v>9</v>
      </c>
      <c r="D17">
        <v>5663</v>
      </c>
      <c r="E17">
        <v>447</v>
      </c>
      <c r="F17">
        <v>226</v>
      </c>
      <c r="G17"/>
    </row>
    <row r="18" spans="1:7" ht="14.5" x14ac:dyDescent="0.35">
      <c r="A18" s="6">
        <v>45929</v>
      </c>
      <c r="B18" t="s">
        <v>6</v>
      </c>
      <c r="C18" t="s">
        <v>10</v>
      </c>
      <c r="D18">
        <v>2375</v>
      </c>
      <c r="E18">
        <v>317</v>
      </c>
      <c r="F18">
        <v>108</v>
      </c>
      <c r="G18"/>
    </row>
    <row r="19" spans="1:7" ht="14.5" x14ac:dyDescent="0.35">
      <c r="A19" s="6">
        <v>45996</v>
      </c>
      <c r="B19" t="s">
        <v>6</v>
      </c>
      <c r="C19" t="s">
        <v>10</v>
      </c>
      <c r="D19">
        <v>4900</v>
      </c>
      <c r="E19">
        <v>452</v>
      </c>
      <c r="F19">
        <v>381</v>
      </c>
      <c r="G19"/>
    </row>
    <row r="20" spans="1:7" ht="14.5" x14ac:dyDescent="0.35">
      <c r="A20" s="6">
        <v>45870</v>
      </c>
      <c r="B20" t="s">
        <v>6</v>
      </c>
      <c r="C20" t="s">
        <v>10</v>
      </c>
      <c r="D20">
        <v>2363</v>
      </c>
      <c r="E20">
        <v>246</v>
      </c>
      <c r="F20">
        <v>24</v>
      </c>
      <c r="G20"/>
    </row>
    <row r="21" spans="1:7" ht="14.5" x14ac:dyDescent="0.35">
      <c r="A21" s="6">
        <v>45909</v>
      </c>
      <c r="B21" t="s">
        <v>6</v>
      </c>
      <c r="C21" t="s">
        <v>11</v>
      </c>
      <c r="D21">
        <v>3635</v>
      </c>
      <c r="E21">
        <v>493</v>
      </c>
      <c r="F21">
        <v>197</v>
      </c>
      <c r="G21"/>
    </row>
    <row r="22" spans="1:7" ht="14.5" x14ac:dyDescent="0.35">
      <c r="A22" s="6">
        <v>45970</v>
      </c>
      <c r="B22" t="s">
        <v>6</v>
      </c>
      <c r="C22" t="s">
        <v>11</v>
      </c>
      <c r="D22">
        <v>3784</v>
      </c>
      <c r="E22">
        <v>424</v>
      </c>
      <c r="F22">
        <v>248</v>
      </c>
      <c r="G22"/>
    </row>
    <row r="23" spans="1:7" ht="14.5" x14ac:dyDescent="0.35">
      <c r="A23" s="6">
        <v>46010</v>
      </c>
      <c r="B23" t="s">
        <v>6</v>
      </c>
      <c r="C23" t="s">
        <v>11</v>
      </c>
      <c r="D23">
        <v>2905</v>
      </c>
      <c r="E23">
        <v>268</v>
      </c>
      <c r="F23">
        <v>98</v>
      </c>
      <c r="G23"/>
    </row>
    <row r="24" spans="1:7" ht="14.5" x14ac:dyDescent="0.35">
      <c r="A24" s="6">
        <v>45993</v>
      </c>
      <c r="B24" t="s">
        <v>6</v>
      </c>
      <c r="C24" t="s">
        <v>11</v>
      </c>
      <c r="D24">
        <v>6904</v>
      </c>
      <c r="E24">
        <v>107</v>
      </c>
      <c r="F24">
        <v>37</v>
      </c>
      <c r="G24"/>
    </row>
    <row r="25" spans="1:7" ht="14.5" x14ac:dyDescent="0.35">
      <c r="A25" s="6">
        <v>45918</v>
      </c>
      <c r="B25" t="s">
        <v>6</v>
      </c>
      <c r="C25" t="s">
        <v>11</v>
      </c>
      <c r="D25">
        <v>2004</v>
      </c>
      <c r="E25">
        <v>204</v>
      </c>
      <c r="F25">
        <v>112</v>
      </c>
      <c r="G25"/>
    </row>
    <row r="26" spans="1:7" ht="14.5" x14ac:dyDescent="0.35">
      <c r="A26" s="6">
        <v>45995</v>
      </c>
      <c r="B26" t="s">
        <v>6</v>
      </c>
      <c r="C26" t="s">
        <v>11</v>
      </c>
      <c r="D26">
        <v>2987</v>
      </c>
      <c r="E26">
        <v>355</v>
      </c>
      <c r="F26">
        <v>300</v>
      </c>
      <c r="G26"/>
    </row>
    <row r="27" spans="1:7" ht="14.5" x14ac:dyDescent="0.35">
      <c r="A27" s="6">
        <v>45888</v>
      </c>
      <c r="B27" t="s">
        <v>12</v>
      </c>
      <c r="C27" t="s">
        <v>7</v>
      </c>
      <c r="D27">
        <v>4427</v>
      </c>
      <c r="E27">
        <v>410</v>
      </c>
      <c r="F27">
        <v>382</v>
      </c>
      <c r="G27"/>
    </row>
    <row r="28" spans="1:7" ht="14.5" x14ac:dyDescent="0.35">
      <c r="A28" s="6">
        <v>45941</v>
      </c>
      <c r="B28" t="s">
        <v>12</v>
      </c>
      <c r="C28" t="s">
        <v>7</v>
      </c>
      <c r="D28">
        <v>6194</v>
      </c>
      <c r="E28">
        <v>377</v>
      </c>
      <c r="F28">
        <v>308</v>
      </c>
      <c r="G28"/>
    </row>
    <row r="29" spans="1:7" ht="14.5" x14ac:dyDescent="0.35">
      <c r="A29" s="6">
        <v>45933</v>
      </c>
      <c r="B29" t="s">
        <v>12</v>
      </c>
      <c r="C29" t="s">
        <v>8</v>
      </c>
      <c r="D29">
        <v>4610</v>
      </c>
      <c r="E29">
        <v>344</v>
      </c>
      <c r="F29">
        <v>332</v>
      </c>
      <c r="G29"/>
    </row>
    <row r="30" spans="1:7" ht="14.5" x14ac:dyDescent="0.35">
      <c r="A30" s="6">
        <v>45895</v>
      </c>
      <c r="B30" t="s">
        <v>12</v>
      </c>
      <c r="C30" t="s">
        <v>8</v>
      </c>
      <c r="D30">
        <v>6994</v>
      </c>
      <c r="E30">
        <v>413</v>
      </c>
      <c r="F30">
        <v>6</v>
      </c>
      <c r="G30"/>
    </row>
    <row r="31" spans="1:7" ht="14.5" x14ac:dyDescent="0.35">
      <c r="A31" s="6">
        <v>45930</v>
      </c>
      <c r="B31" t="s">
        <v>12</v>
      </c>
      <c r="C31" t="s">
        <v>8</v>
      </c>
      <c r="D31">
        <v>4469</v>
      </c>
      <c r="E31">
        <v>283</v>
      </c>
      <c r="F31">
        <v>7</v>
      </c>
      <c r="G31"/>
    </row>
    <row r="32" spans="1:7" ht="14.5" x14ac:dyDescent="0.35">
      <c r="A32" s="6">
        <v>45987</v>
      </c>
      <c r="B32" t="s">
        <v>12</v>
      </c>
      <c r="C32" t="s">
        <v>8</v>
      </c>
      <c r="D32">
        <v>2734</v>
      </c>
      <c r="E32">
        <v>467</v>
      </c>
      <c r="F32">
        <v>274</v>
      </c>
      <c r="G32"/>
    </row>
    <row r="33" spans="1:7" ht="14.5" x14ac:dyDescent="0.35">
      <c r="A33" s="6">
        <v>45994</v>
      </c>
      <c r="B33" t="s">
        <v>12</v>
      </c>
      <c r="C33" t="s">
        <v>8</v>
      </c>
      <c r="D33">
        <v>2912</v>
      </c>
      <c r="E33">
        <v>213</v>
      </c>
      <c r="F33">
        <v>32</v>
      </c>
      <c r="G33"/>
    </row>
    <row r="34" spans="1:7" ht="14.5" x14ac:dyDescent="0.35">
      <c r="A34" s="6">
        <v>45883</v>
      </c>
      <c r="B34" t="s">
        <v>12</v>
      </c>
      <c r="C34" t="s">
        <v>8</v>
      </c>
      <c r="D34">
        <v>6924</v>
      </c>
      <c r="E34">
        <v>122</v>
      </c>
      <c r="F34">
        <v>18</v>
      </c>
      <c r="G34"/>
    </row>
    <row r="35" spans="1:7" ht="14.5" x14ac:dyDescent="0.35">
      <c r="A35" s="6">
        <v>45911</v>
      </c>
      <c r="B35" t="s">
        <v>12</v>
      </c>
      <c r="C35" t="s">
        <v>8</v>
      </c>
      <c r="D35">
        <v>2211</v>
      </c>
      <c r="E35">
        <v>257</v>
      </c>
      <c r="F35">
        <v>13</v>
      </c>
      <c r="G35"/>
    </row>
    <row r="36" spans="1:7" ht="14.5" x14ac:dyDescent="0.35">
      <c r="A36" s="6">
        <v>45981</v>
      </c>
      <c r="B36" t="s">
        <v>12</v>
      </c>
      <c r="C36" t="s">
        <v>8</v>
      </c>
      <c r="D36">
        <v>2546</v>
      </c>
      <c r="E36">
        <v>403</v>
      </c>
      <c r="F36">
        <v>237</v>
      </c>
      <c r="G36"/>
    </row>
    <row r="37" spans="1:7" ht="14.5" x14ac:dyDescent="0.35">
      <c r="A37" s="6">
        <v>45902</v>
      </c>
      <c r="B37" t="s">
        <v>12</v>
      </c>
      <c r="C37" t="s">
        <v>8</v>
      </c>
      <c r="D37">
        <v>3199</v>
      </c>
      <c r="E37">
        <v>164</v>
      </c>
      <c r="F37">
        <v>32</v>
      </c>
      <c r="G37"/>
    </row>
    <row r="38" spans="1:7" ht="14.5" x14ac:dyDescent="0.35">
      <c r="A38" s="6">
        <v>45917</v>
      </c>
      <c r="B38" t="s">
        <v>12</v>
      </c>
      <c r="C38" t="s">
        <v>9</v>
      </c>
      <c r="D38">
        <v>2404</v>
      </c>
      <c r="E38">
        <v>805</v>
      </c>
      <c r="F38">
        <v>58</v>
      </c>
      <c r="G38"/>
    </row>
    <row r="39" spans="1:7" ht="14.5" x14ac:dyDescent="0.35">
      <c r="A39" s="6">
        <v>45999</v>
      </c>
      <c r="B39" t="s">
        <v>12</v>
      </c>
      <c r="C39" t="s">
        <v>9</v>
      </c>
      <c r="D39">
        <v>5843</v>
      </c>
      <c r="E39">
        <v>824</v>
      </c>
      <c r="F39">
        <v>78</v>
      </c>
      <c r="G39"/>
    </row>
    <row r="40" spans="1:7" ht="14.5" x14ac:dyDescent="0.35">
      <c r="A40" s="6">
        <v>45893</v>
      </c>
      <c r="B40" t="s">
        <v>12</v>
      </c>
      <c r="C40" t="s">
        <v>9</v>
      </c>
      <c r="D40">
        <v>6839</v>
      </c>
      <c r="E40">
        <v>235</v>
      </c>
      <c r="F40">
        <v>171</v>
      </c>
      <c r="G40"/>
    </row>
    <row r="41" spans="1:7" ht="14.5" x14ac:dyDescent="0.35">
      <c r="A41" s="6">
        <v>45903</v>
      </c>
      <c r="B41" t="s">
        <v>12</v>
      </c>
      <c r="C41" t="s">
        <v>9</v>
      </c>
      <c r="D41">
        <v>5104</v>
      </c>
      <c r="E41">
        <v>183</v>
      </c>
      <c r="F41">
        <v>61</v>
      </c>
      <c r="G41"/>
    </row>
    <row r="42" spans="1:7" ht="14.5" x14ac:dyDescent="0.35">
      <c r="A42" s="6">
        <v>45984</v>
      </c>
      <c r="B42" t="s">
        <v>12</v>
      </c>
      <c r="C42" t="s">
        <v>9</v>
      </c>
      <c r="D42">
        <v>3689</v>
      </c>
      <c r="E42">
        <v>316</v>
      </c>
      <c r="F42">
        <v>24</v>
      </c>
      <c r="G42"/>
    </row>
    <row r="43" spans="1:7" ht="14.5" x14ac:dyDescent="0.35">
      <c r="A43" s="6">
        <v>45877</v>
      </c>
      <c r="B43" t="s">
        <v>12</v>
      </c>
      <c r="C43" t="s">
        <v>9</v>
      </c>
      <c r="D43">
        <v>2402</v>
      </c>
      <c r="E43">
        <v>123</v>
      </c>
      <c r="F43">
        <v>12</v>
      </c>
      <c r="G43"/>
    </row>
    <row r="44" spans="1:7" ht="14.5" x14ac:dyDescent="0.35">
      <c r="A44" s="6">
        <v>45925</v>
      </c>
      <c r="B44" t="s">
        <v>12</v>
      </c>
      <c r="C44" t="s">
        <v>9</v>
      </c>
      <c r="D44">
        <v>4300</v>
      </c>
      <c r="E44">
        <v>239</v>
      </c>
      <c r="F44">
        <v>79</v>
      </c>
      <c r="G44"/>
    </row>
    <row r="45" spans="1:7" ht="14.5" x14ac:dyDescent="0.35">
      <c r="A45" s="6">
        <v>45949</v>
      </c>
      <c r="B45" t="s">
        <v>12</v>
      </c>
      <c r="C45" t="s">
        <v>10</v>
      </c>
      <c r="D45">
        <v>4928</v>
      </c>
      <c r="E45">
        <v>410</v>
      </c>
      <c r="F45">
        <v>82</v>
      </c>
      <c r="G45"/>
    </row>
    <row r="46" spans="1:7" ht="14.5" x14ac:dyDescent="0.35">
      <c r="A46" s="6">
        <v>45961</v>
      </c>
      <c r="B46" t="s">
        <v>12</v>
      </c>
      <c r="C46" t="s">
        <v>10</v>
      </c>
      <c r="D46">
        <v>2010</v>
      </c>
      <c r="E46">
        <v>394</v>
      </c>
      <c r="F46">
        <v>145</v>
      </c>
      <c r="G46"/>
    </row>
    <row r="47" spans="1:7" ht="14.5" x14ac:dyDescent="0.35">
      <c r="A47" s="6">
        <v>45968</v>
      </c>
      <c r="B47" t="s">
        <v>12</v>
      </c>
      <c r="C47" t="s">
        <v>10</v>
      </c>
      <c r="D47">
        <v>6377</v>
      </c>
      <c r="E47">
        <v>210</v>
      </c>
      <c r="F47">
        <v>127</v>
      </c>
      <c r="G47"/>
    </row>
    <row r="48" spans="1:7" ht="14.5" x14ac:dyDescent="0.35">
      <c r="A48" s="6">
        <v>46003</v>
      </c>
      <c r="B48" t="s">
        <v>12</v>
      </c>
      <c r="C48" t="s">
        <v>10</v>
      </c>
      <c r="D48">
        <v>3182</v>
      </c>
      <c r="E48">
        <v>306</v>
      </c>
      <c r="F48">
        <v>105</v>
      </c>
      <c r="G48"/>
    </row>
    <row r="49" spans="1:7" ht="14.5" x14ac:dyDescent="0.35">
      <c r="A49" s="6">
        <v>45936</v>
      </c>
      <c r="B49" t="s">
        <v>12</v>
      </c>
      <c r="C49" t="s">
        <v>10</v>
      </c>
      <c r="D49">
        <v>4326</v>
      </c>
      <c r="E49">
        <v>433</v>
      </c>
      <c r="F49">
        <v>355</v>
      </c>
      <c r="G49"/>
    </row>
    <row r="50" spans="1:7" ht="14.5" x14ac:dyDescent="0.35">
      <c r="A50" s="6">
        <v>45954</v>
      </c>
      <c r="B50" t="s">
        <v>12</v>
      </c>
      <c r="C50" t="s">
        <v>10</v>
      </c>
      <c r="D50">
        <v>3947</v>
      </c>
      <c r="E50">
        <v>498</v>
      </c>
      <c r="F50">
        <v>87</v>
      </c>
      <c r="G50"/>
    </row>
    <row r="51" spans="1:7" ht="14.5" x14ac:dyDescent="0.35">
      <c r="A51" s="6">
        <v>45966</v>
      </c>
      <c r="B51" t="s">
        <v>12</v>
      </c>
      <c r="C51" t="s">
        <v>10</v>
      </c>
      <c r="D51">
        <v>4921</v>
      </c>
      <c r="E51">
        <v>410</v>
      </c>
      <c r="F51">
        <v>314</v>
      </c>
      <c r="G51"/>
    </row>
    <row r="52" spans="1:7" ht="14.5" x14ac:dyDescent="0.35">
      <c r="A52" s="6">
        <v>45880</v>
      </c>
      <c r="B52" t="s">
        <v>12</v>
      </c>
      <c r="C52" t="s">
        <v>10</v>
      </c>
      <c r="D52">
        <v>5585</v>
      </c>
      <c r="E52">
        <v>326</v>
      </c>
      <c r="F52">
        <v>24</v>
      </c>
      <c r="G52"/>
    </row>
    <row r="53" spans="1:7" ht="14.5" x14ac:dyDescent="0.35">
      <c r="A53" s="6">
        <v>45935</v>
      </c>
      <c r="B53" t="s">
        <v>12</v>
      </c>
      <c r="C53" t="s">
        <v>10</v>
      </c>
      <c r="D53">
        <v>4375</v>
      </c>
      <c r="E53">
        <v>376</v>
      </c>
      <c r="F53">
        <v>78</v>
      </c>
      <c r="G53"/>
    </row>
    <row r="54" spans="1:7" ht="14.5" x14ac:dyDescent="0.35">
      <c r="A54" s="6">
        <v>45904</v>
      </c>
      <c r="B54" t="s">
        <v>12</v>
      </c>
      <c r="C54" t="s">
        <v>10</v>
      </c>
      <c r="D54">
        <v>6700</v>
      </c>
      <c r="E54">
        <v>172</v>
      </c>
      <c r="F54">
        <v>136</v>
      </c>
      <c r="G54"/>
    </row>
    <row r="55" spans="1:7" ht="14.5" x14ac:dyDescent="0.35">
      <c r="A55" s="6">
        <v>45937</v>
      </c>
      <c r="B55" t="s">
        <v>12</v>
      </c>
      <c r="C55" t="s">
        <v>11</v>
      </c>
      <c r="D55">
        <v>4556</v>
      </c>
      <c r="E55">
        <v>107</v>
      </c>
      <c r="F55">
        <v>20</v>
      </c>
      <c r="G55"/>
    </row>
    <row r="56" spans="1:7" ht="14.5" x14ac:dyDescent="0.35">
      <c r="A56" s="6">
        <v>45991</v>
      </c>
      <c r="B56" t="s">
        <v>12</v>
      </c>
      <c r="C56" t="s">
        <v>11</v>
      </c>
      <c r="D56">
        <v>6673</v>
      </c>
      <c r="E56">
        <v>136</v>
      </c>
      <c r="F56">
        <v>133</v>
      </c>
      <c r="G56"/>
    </row>
    <row r="57" spans="1:7" ht="14.5" x14ac:dyDescent="0.35">
      <c r="A57" s="6">
        <v>45908</v>
      </c>
      <c r="B57" t="s">
        <v>12</v>
      </c>
      <c r="C57" t="s">
        <v>11</v>
      </c>
      <c r="D57">
        <v>6750</v>
      </c>
      <c r="E57">
        <v>259</v>
      </c>
      <c r="F57">
        <v>231</v>
      </c>
      <c r="G57"/>
    </row>
    <row r="58" spans="1:7" ht="14.5" x14ac:dyDescent="0.35">
      <c r="A58" s="6">
        <v>45979</v>
      </c>
      <c r="B58" t="s">
        <v>12</v>
      </c>
      <c r="C58" t="s">
        <v>11</v>
      </c>
      <c r="D58">
        <v>3384</v>
      </c>
      <c r="E58">
        <v>478</v>
      </c>
      <c r="F58">
        <v>112</v>
      </c>
      <c r="G58"/>
    </row>
    <row r="59" spans="1:7" ht="14.5" x14ac:dyDescent="0.35">
      <c r="A59" s="6">
        <v>45912</v>
      </c>
      <c r="B59" t="s">
        <v>13</v>
      </c>
      <c r="C59" t="s">
        <v>7</v>
      </c>
      <c r="D59">
        <v>6047</v>
      </c>
      <c r="E59">
        <v>336</v>
      </c>
      <c r="F59">
        <v>204</v>
      </c>
      <c r="G59"/>
    </row>
    <row r="60" spans="1:7" ht="14.5" x14ac:dyDescent="0.35">
      <c r="A60" s="6">
        <v>45988</v>
      </c>
      <c r="B60" t="s">
        <v>13</v>
      </c>
      <c r="C60" t="s">
        <v>7</v>
      </c>
      <c r="D60">
        <v>4252</v>
      </c>
      <c r="E60">
        <v>462</v>
      </c>
      <c r="F60">
        <v>410</v>
      </c>
      <c r="G60"/>
    </row>
    <row r="61" spans="1:7" ht="14.5" x14ac:dyDescent="0.35">
      <c r="A61" s="6">
        <v>45939</v>
      </c>
      <c r="B61" t="s">
        <v>13</v>
      </c>
      <c r="C61" t="s">
        <v>8</v>
      </c>
      <c r="D61">
        <v>5425</v>
      </c>
      <c r="E61">
        <v>313</v>
      </c>
      <c r="F61">
        <v>290</v>
      </c>
      <c r="G61"/>
    </row>
    <row r="62" spans="1:7" ht="14.5" x14ac:dyDescent="0.35">
      <c r="A62" s="6">
        <v>46004</v>
      </c>
      <c r="B62" t="s">
        <v>13</v>
      </c>
      <c r="C62" t="s">
        <v>8</v>
      </c>
      <c r="D62">
        <v>2275</v>
      </c>
      <c r="E62">
        <v>352</v>
      </c>
      <c r="F62">
        <v>114</v>
      </c>
      <c r="G62"/>
    </row>
    <row r="63" spans="1:7" ht="14.5" x14ac:dyDescent="0.35">
      <c r="A63" s="6">
        <v>45910</v>
      </c>
      <c r="B63" t="s">
        <v>13</v>
      </c>
      <c r="C63" t="s">
        <v>8</v>
      </c>
      <c r="D63">
        <v>6538</v>
      </c>
      <c r="E63">
        <v>341</v>
      </c>
      <c r="F63">
        <v>53</v>
      </c>
      <c r="G63"/>
    </row>
    <row r="64" spans="1:7" ht="14.5" x14ac:dyDescent="0.35">
      <c r="A64" s="6">
        <v>45886</v>
      </c>
      <c r="B64" t="s">
        <v>13</v>
      </c>
      <c r="C64" t="s">
        <v>8</v>
      </c>
      <c r="D64">
        <v>6839</v>
      </c>
      <c r="E64">
        <v>258</v>
      </c>
      <c r="F64">
        <v>22</v>
      </c>
      <c r="G64"/>
    </row>
    <row r="65" spans="1:7" ht="14.5" x14ac:dyDescent="0.35">
      <c r="A65" s="6">
        <v>45874</v>
      </c>
      <c r="B65" t="s">
        <v>13</v>
      </c>
      <c r="C65" t="s">
        <v>9</v>
      </c>
      <c r="D65">
        <v>6688</v>
      </c>
      <c r="E65">
        <v>191</v>
      </c>
      <c r="F65">
        <v>180</v>
      </c>
      <c r="G65"/>
    </row>
    <row r="66" spans="1:7" ht="14.5" x14ac:dyDescent="0.35">
      <c r="A66" s="6">
        <v>45899</v>
      </c>
      <c r="B66" t="s">
        <v>13</v>
      </c>
      <c r="C66" t="s">
        <v>9</v>
      </c>
      <c r="D66">
        <v>6849</v>
      </c>
      <c r="E66">
        <v>465</v>
      </c>
      <c r="F66">
        <v>46</v>
      </c>
      <c r="G66"/>
    </row>
    <row r="67" spans="1:7" ht="14.5" x14ac:dyDescent="0.35">
      <c r="A67" s="6">
        <v>45940</v>
      </c>
      <c r="B67" t="s">
        <v>13</v>
      </c>
      <c r="C67" t="s">
        <v>9</v>
      </c>
      <c r="D67">
        <v>5860</v>
      </c>
      <c r="E67">
        <v>387</v>
      </c>
      <c r="F67">
        <v>18</v>
      </c>
      <c r="G67"/>
    </row>
    <row r="68" spans="1:7" ht="14.5" x14ac:dyDescent="0.35">
      <c r="A68" s="6">
        <v>46014</v>
      </c>
      <c r="B68" t="s">
        <v>13</v>
      </c>
      <c r="C68" t="s">
        <v>9</v>
      </c>
      <c r="D68">
        <v>3417</v>
      </c>
      <c r="E68">
        <v>108</v>
      </c>
      <c r="F68">
        <v>28</v>
      </c>
      <c r="G68"/>
    </row>
    <row r="69" spans="1:7" ht="14.5" x14ac:dyDescent="0.35">
      <c r="A69" s="6">
        <v>45872</v>
      </c>
      <c r="B69" t="s">
        <v>13</v>
      </c>
      <c r="C69" t="s">
        <v>9</v>
      </c>
      <c r="D69">
        <v>2090</v>
      </c>
      <c r="E69">
        <v>285</v>
      </c>
      <c r="F69">
        <v>197</v>
      </c>
      <c r="G69"/>
    </row>
    <row r="70" spans="1:7" ht="14.5" x14ac:dyDescent="0.35">
      <c r="A70" s="6">
        <v>45884</v>
      </c>
      <c r="B70" t="s">
        <v>13</v>
      </c>
      <c r="C70" t="s">
        <v>9</v>
      </c>
      <c r="D70">
        <v>2473</v>
      </c>
      <c r="E70">
        <v>360</v>
      </c>
      <c r="F70">
        <v>105</v>
      </c>
      <c r="G70"/>
    </row>
    <row r="71" spans="1:7" ht="14.5" x14ac:dyDescent="0.35">
      <c r="A71" s="6">
        <v>45892</v>
      </c>
      <c r="B71" t="s">
        <v>13</v>
      </c>
      <c r="C71" t="s">
        <v>9</v>
      </c>
      <c r="D71">
        <v>6563</v>
      </c>
      <c r="E71">
        <v>456</v>
      </c>
      <c r="F71">
        <v>273</v>
      </c>
      <c r="G71"/>
    </row>
    <row r="72" spans="1:7" ht="14.5" x14ac:dyDescent="0.35">
      <c r="A72" s="6">
        <v>45923</v>
      </c>
      <c r="B72" t="s">
        <v>13</v>
      </c>
      <c r="C72" t="s">
        <v>9</v>
      </c>
      <c r="D72">
        <v>4330</v>
      </c>
      <c r="E72">
        <v>199</v>
      </c>
      <c r="F72">
        <v>118</v>
      </c>
      <c r="G72"/>
    </row>
    <row r="73" spans="1:7" ht="14.5" x14ac:dyDescent="0.35">
      <c r="A73" s="6">
        <v>45931</v>
      </c>
      <c r="B73" t="s">
        <v>13</v>
      </c>
      <c r="C73" t="s">
        <v>9</v>
      </c>
      <c r="D73">
        <v>6449</v>
      </c>
      <c r="E73">
        <v>193</v>
      </c>
      <c r="F73">
        <v>162</v>
      </c>
      <c r="G73"/>
    </row>
    <row r="74" spans="1:7" ht="14.5" x14ac:dyDescent="0.35">
      <c r="A74" s="6">
        <v>45882</v>
      </c>
      <c r="B74" t="s">
        <v>13</v>
      </c>
      <c r="C74" t="s">
        <v>9</v>
      </c>
      <c r="D74">
        <v>3900</v>
      </c>
      <c r="E74">
        <v>322</v>
      </c>
      <c r="F74">
        <v>85</v>
      </c>
      <c r="G74"/>
    </row>
    <row r="75" spans="1:7" ht="14.5" x14ac:dyDescent="0.35">
      <c r="A75" s="6">
        <v>45938</v>
      </c>
      <c r="B75" t="s">
        <v>13</v>
      </c>
      <c r="C75" t="s">
        <v>9</v>
      </c>
      <c r="D75">
        <v>4437</v>
      </c>
      <c r="E75">
        <v>106</v>
      </c>
      <c r="F75">
        <v>11</v>
      </c>
      <c r="G75"/>
    </row>
    <row r="76" spans="1:7" ht="14.5" x14ac:dyDescent="0.35">
      <c r="A76" s="6">
        <v>45953</v>
      </c>
      <c r="B76" t="s">
        <v>13</v>
      </c>
      <c r="C76" t="s">
        <v>9</v>
      </c>
      <c r="D76">
        <v>5172</v>
      </c>
      <c r="E76">
        <v>260</v>
      </c>
      <c r="F76">
        <v>53</v>
      </c>
      <c r="G76"/>
    </row>
    <row r="77" spans="1:7" ht="14.5" x14ac:dyDescent="0.35">
      <c r="A77" s="6">
        <v>45879</v>
      </c>
      <c r="B77" t="s">
        <v>13</v>
      </c>
      <c r="C77" t="s">
        <v>10</v>
      </c>
      <c r="D77">
        <v>6326</v>
      </c>
      <c r="E77">
        <v>258</v>
      </c>
      <c r="F77">
        <v>253</v>
      </c>
      <c r="G77"/>
    </row>
    <row r="78" spans="1:7" ht="14.5" x14ac:dyDescent="0.35">
      <c r="A78" s="6">
        <v>45927</v>
      </c>
      <c r="B78" t="s">
        <v>13</v>
      </c>
      <c r="C78" t="s">
        <v>10</v>
      </c>
      <c r="D78">
        <v>6624</v>
      </c>
      <c r="E78">
        <v>253</v>
      </c>
      <c r="F78">
        <v>151</v>
      </c>
      <c r="G78"/>
    </row>
    <row r="79" spans="1:7" ht="14.5" x14ac:dyDescent="0.35">
      <c r="A79" s="6">
        <v>45952</v>
      </c>
      <c r="B79" t="s">
        <v>13</v>
      </c>
      <c r="C79" t="s">
        <v>10</v>
      </c>
      <c r="D79">
        <v>2212</v>
      </c>
      <c r="E79">
        <v>479</v>
      </c>
      <c r="F79">
        <v>199</v>
      </c>
      <c r="G79"/>
    </row>
    <row r="80" spans="1:7" ht="14.5" x14ac:dyDescent="0.35">
      <c r="A80" s="6">
        <v>45963</v>
      </c>
      <c r="B80" t="s">
        <v>13</v>
      </c>
      <c r="C80" t="s">
        <v>10</v>
      </c>
      <c r="D80">
        <v>4311</v>
      </c>
      <c r="E80">
        <v>239</v>
      </c>
      <c r="F80">
        <v>136</v>
      </c>
      <c r="G80"/>
    </row>
    <row r="81" spans="1:7" ht="14.5" x14ac:dyDescent="0.35">
      <c r="A81" s="6">
        <v>45945</v>
      </c>
      <c r="B81" t="s">
        <v>13</v>
      </c>
      <c r="C81" t="s">
        <v>10</v>
      </c>
      <c r="D81">
        <v>4322</v>
      </c>
      <c r="E81">
        <v>404</v>
      </c>
      <c r="F81">
        <v>381</v>
      </c>
      <c r="G81"/>
    </row>
    <row r="82" spans="1:7" ht="14.5" x14ac:dyDescent="0.35">
      <c r="A82" s="6">
        <v>45913</v>
      </c>
      <c r="B82" t="s">
        <v>13</v>
      </c>
      <c r="C82" t="s">
        <v>10</v>
      </c>
      <c r="D82">
        <v>5296</v>
      </c>
      <c r="E82">
        <v>380</v>
      </c>
      <c r="F82">
        <v>360</v>
      </c>
      <c r="G82"/>
    </row>
    <row r="83" spans="1:7" ht="14.5" x14ac:dyDescent="0.35">
      <c r="A83" s="6">
        <v>45934</v>
      </c>
      <c r="B83" t="s">
        <v>13</v>
      </c>
      <c r="C83" t="s">
        <v>10</v>
      </c>
      <c r="D83">
        <v>6151</v>
      </c>
      <c r="E83">
        <v>384</v>
      </c>
      <c r="F83">
        <v>265</v>
      </c>
      <c r="G83"/>
    </row>
    <row r="84" spans="1:7" ht="14.5" x14ac:dyDescent="0.35">
      <c r="A84" s="6">
        <v>45947</v>
      </c>
      <c r="B84" t="s">
        <v>13</v>
      </c>
      <c r="C84" t="s">
        <v>10</v>
      </c>
      <c r="D84">
        <v>3598</v>
      </c>
      <c r="E84">
        <v>148</v>
      </c>
      <c r="F84">
        <v>45</v>
      </c>
      <c r="G84"/>
    </row>
    <row r="85" spans="1:7" ht="14.5" x14ac:dyDescent="0.35">
      <c r="A85" s="6">
        <v>46013</v>
      </c>
      <c r="B85" t="s">
        <v>13</v>
      </c>
      <c r="C85" t="s">
        <v>10</v>
      </c>
      <c r="D85">
        <v>4935</v>
      </c>
      <c r="E85">
        <v>205</v>
      </c>
      <c r="F85">
        <v>45</v>
      </c>
      <c r="G85"/>
    </row>
    <row r="86" spans="1:7" ht="14.5" x14ac:dyDescent="0.35">
      <c r="A86" s="6">
        <v>45972</v>
      </c>
      <c r="B86" t="s">
        <v>13</v>
      </c>
      <c r="C86" t="s">
        <v>10</v>
      </c>
      <c r="D86">
        <v>3250</v>
      </c>
      <c r="E86">
        <v>274</v>
      </c>
      <c r="F86">
        <v>20</v>
      </c>
      <c r="G86"/>
    </row>
    <row r="87" spans="1:7" ht="14.5" x14ac:dyDescent="0.35">
      <c r="A87" s="6">
        <v>46009</v>
      </c>
      <c r="B87" t="s">
        <v>13</v>
      </c>
      <c r="C87" t="s">
        <v>10</v>
      </c>
      <c r="D87">
        <v>5399</v>
      </c>
      <c r="E87">
        <v>256</v>
      </c>
      <c r="F87">
        <v>134</v>
      </c>
      <c r="G87"/>
    </row>
    <row r="88" spans="1:7" ht="14.5" x14ac:dyDescent="0.35">
      <c r="A88" s="6">
        <v>45946</v>
      </c>
      <c r="B88" t="s">
        <v>13</v>
      </c>
      <c r="C88" t="s">
        <v>11</v>
      </c>
      <c r="D88">
        <v>3974</v>
      </c>
      <c r="E88">
        <v>210</v>
      </c>
      <c r="F88">
        <v>118</v>
      </c>
      <c r="G88"/>
    </row>
    <row r="89" spans="1:7" ht="14.5" x14ac:dyDescent="0.35">
      <c r="A89" s="6">
        <v>45951</v>
      </c>
      <c r="B89" t="s">
        <v>13</v>
      </c>
      <c r="C89" t="s">
        <v>11</v>
      </c>
      <c r="D89">
        <v>6693</v>
      </c>
      <c r="E89">
        <v>336</v>
      </c>
      <c r="F89">
        <v>25</v>
      </c>
      <c r="G89"/>
    </row>
    <row r="90" spans="1:7" ht="14.5" x14ac:dyDescent="0.35">
      <c r="A90" s="6">
        <v>45976</v>
      </c>
      <c r="B90" t="s">
        <v>13</v>
      </c>
      <c r="C90" t="s">
        <v>11</v>
      </c>
      <c r="D90">
        <v>3181</v>
      </c>
      <c r="E90">
        <v>171</v>
      </c>
      <c r="F90">
        <v>125</v>
      </c>
      <c r="G90"/>
    </row>
    <row r="91" spans="1:7" ht="14.5" x14ac:dyDescent="0.35">
      <c r="A91" s="6">
        <v>46006</v>
      </c>
      <c r="B91" t="s">
        <v>14</v>
      </c>
      <c r="C91" t="s">
        <v>7</v>
      </c>
      <c r="D91">
        <v>4606</v>
      </c>
      <c r="E91">
        <v>297</v>
      </c>
      <c r="F91">
        <v>287</v>
      </c>
      <c r="G91"/>
    </row>
    <row r="92" spans="1:7" ht="14.5" x14ac:dyDescent="0.35">
      <c r="A92" s="6">
        <v>45942</v>
      </c>
      <c r="B92" t="s">
        <v>14</v>
      </c>
      <c r="C92" t="s">
        <v>8</v>
      </c>
      <c r="D92">
        <v>4885</v>
      </c>
      <c r="E92">
        <v>371</v>
      </c>
      <c r="F92">
        <v>144</v>
      </c>
      <c r="G92"/>
    </row>
    <row r="93" spans="1:7" ht="14.5" x14ac:dyDescent="0.35">
      <c r="A93" s="6">
        <v>46018</v>
      </c>
      <c r="B93" t="s">
        <v>14</v>
      </c>
      <c r="C93" t="s">
        <v>8</v>
      </c>
      <c r="D93">
        <v>3439</v>
      </c>
      <c r="E93">
        <v>347</v>
      </c>
      <c r="F93">
        <v>86</v>
      </c>
      <c r="G93"/>
    </row>
    <row r="94" spans="1:7" ht="14.5" x14ac:dyDescent="0.35">
      <c r="A94" s="6">
        <v>45919</v>
      </c>
      <c r="B94" t="s">
        <v>14</v>
      </c>
      <c r="C94" t="s">
        <v>8</v>
      </c>
      <c r="D94">
        <v>4802</v>
      </c>
      <c r="E94">
        <v>440</v>
      </c>
      <c r="F94">
        <v>4</v>
      </c>
      <c r="G94"/>
    </row>
    <row r="95" spans="1:7" ht="14.5" x14ac:dyDescent="0.35">
      <c r="A95" s="6">
        <v>45992</v>
      </c>
      <c r="B95" t="s">
        <v>14</v>
      </c>
      <c r="C95" t="s">
        <v>8</v>
      </c>
      <c r="D95">
        <v>6201</v>
      </c>
      <c r="E95">
        <v>130</v>
      </c>
      <c r="F95">
        <v>9</v>
      </c>
      <c r="G95"/>
    </row>
    <row r="96" spans="1:7" ht="14.5" x14ac:dyDescent="0.35">
      <c r="A96" s="6">
        <v>45944</v>
      </c>
      <c r="B96" t="s">
        <v>14</v>
      </c>
      <c r="C96" t="s">
        <v>8</v>
      </c>
      <c r="D96">
        <v>6429</v>
      </c>
      <c r="E96">
        <v>388</v>
      </c>
      <c r="F96">
        <v>240</v>
      </c>
      <c r="G96"/>
    </row>
    <row r="97" spans="1:7" ht="14.5" x14ac:dyDescent="0.35">
      <c r="A97" s="6">
        <v>45982</v>
      </c>
      <c r="B97" t="s">
        <v>14</v>
      </c>
      <c r="C97" t="s">
        <v>8</v>
      </c>
      <c r="D97">
        <v>3796</v>
      </c>
      <c r="E97">
        <v>386</v>
      </c>
      <c r="F97">
        <v>244</v>
      </c>
      <c r="G97"/>
    </row>
    <row r="98" spans="1:7" ht="14.5" x14ac:dyDescent="0.35">
      <c r="A98" s="6">
        <v>45926</v>
      </c>
      <c r="B98" t="s">
        <v>14</v>
      </c>
      <c r="C98" t="s">
        <v>9</v>
      </c>
      <c r="D98">
        <v>2913</v>
      </c>
      <c r="E98">
        <v>856</v>
      </c>
      <c r="F98">
        <v>96</v>
      </c>
      <c r="G98"/>
    </row>
    <row r="99" spans="1:7" ht="14.5" x14ac:dyDescent="0.35">
      <c r="A99" s="6">
        <v>45920</v>
      </c>
      <c r="B99" t="s">
        <v>14</v>
      </c>
      <c r="C99" t="s">
        <v>9</v>
      </c>
      <c r="D99">
        <v>5347</v>
      </c>
      <c r="E99">
        <v>334</v>
      </c>
      <c r="F99">
        <v>332</v>
      </c>
      <c r="G99"/>
    </row>
    <row r="100" spans="1:7" ht="14.5" x14ac:dyDescent="0.35">
      <c r="A100" s="6">
        <v>45878</v>
      </c>
      <c r="B100" t="s">
        <v>14</v>
      </c>
      <c r="C100" t="s">
        <v>9</v>
      </c>
      <c r="D100">
        <v>2555</v>
      </c>
      <c r="E100">
        <v>417</v>
      </c>
      <c r="F100">
        <v>96</v>
      </c>
      <c r="G100"/>
    </row>
    <row r="101" spans="1:7" ht="14.5" x14ac:dyDescent="0.35">
      <c r="A101" s="6">
        <v>45890</v>
      </c>
      <c r="B101" t="s">
        <v>14</v>
      </c>
      <c r="C101" t="s">
        <v>9</v>
      </c>
      <c r="D101">
        <v>5381</v>
      </c>
      <c r="E101">
        <v>188</v>
      </c>
      <c r="F101">
        <v>73</v>
      </c>
      <c r="G101"/>
    </row>
    <row r="102" spans="1:7" ht="14.5" x14ac:dyDescent="0.35">
      <c r="A102" s="6">
        <v>45907</v>
      </c>
      <c r="B102" t="s">
        <v>14</v>
      </c>
      <c r="C102" t="s">
        <v>10</v>
      </c>
      <c r="D102">
        <v>4160</v>
      </c>
      <c r="E102">
        <v>243</v>
      </c>
      <c r="F102">
        <v>27</v>
      </c>
      <c r="G102"/>
    </row>
    <row r="103" spans="1:7" ht="14.5" x14ac:dyDescent="0.35">
      <c r="A103" s="6">
        <v>45959</v>
      </c>
      <c r="B103" t="s">
        <v>14</v>
      </c>
      <c r="C103" t="s">
        <v>10</v>
      </c>
      <c r="D103">
        <v>6401</v>
      </c>
      <c r="E103">
        <v>311</v>
      </c>
      <c r="F103">
        <v>223</v>
      </c>
      <c r="G103"/>
    </row>
    <row r="104" spans="1:7" ht="14.5" x14ac:dyDescent="0.35">
      <c r="A104" s="6">
        <v>45974</v>
      </c>
      <c r="B104" t="s">
        <v>14</v>
      </c>
      <c r="C104" t="s">
        <v>10</v>
      </c>
      <c r="D104">
        <v>2072</v>
      </c>
      <c r="E104">
        <v>226</v>
      </c>
      <c r="F104">
        <v>180</v>
      </c>
      <c r="G104"/>
    </row>
    <row r="105" spans="1:7" ht="14.5" x14ac:dyDescent="0.35">
      <c r="A105" s="6">
        <v>45985</v>
      </c>
      <c r="B105" t="s">
        <v>14</v>
      </c>
      <c r="C105" t="s">
        <v>10</v>
      </c>
      <c r="D105">
        <v>3518</v>
      </c>
      <c r="E105">
        <v>426</v>
      </c>
      <c r="F105">
        <v>86</v>
      </c>
      <c r="G105"/>
    </row>
    <row r="106" spans="1:7" ht="14.5" x14ac:dyDescent="0.35">
      <c r="A106" s="6">
        <v>45962</v>
      </c>
      <c r="B106" t="s">
        <v>14</v>
      </c>
      <c r="C106" t="s">
        <v>10</v>
      </c>
      <c r="D106">
        <v>4763</v>
      </c>
      <c r="E106">
        <v>107</v>
      </c>
      <c r="F106">
        <v>44</v>
      </c>
      <c r="G106"/>
    </row>
    <row r="107" spans="1:7" ht="14.5" x14ac:dyDescent="0.35">
      <c r="A107" s="6">
        <v>45894</v>
      </c>
      <c r="B107" t="s">
        <v>14</v>
      </c>
      <c r="C107" t="s">
        <v>10</v>
      </c>
      <c r="D107">
        <v>5269</v>
      </c>
      <c r="E107">
        <v>115</v>
      </c>
      <c r="F107">
        <v>37</v>
      </c>
      <c r="G107"/>
    </row>
    <row r="108" spans="1:7" ht="14.5" x14ac:dyDescent="0.35">
      <c r="A108" s="6">
        <v>45876</v>
      </c>
      <c r="B108" t="s">
        <v>14</v>
      </c>
      <c r="C108" t="s">
        <v>10</v>
      </c>
      <c r="D108">
        <v>6305</v>
      </c>
      <c r="E108">
        <v>380</v>
      </c>
      <c r="F108">
        <v>76</v>
      </c>
      <c r="G108"/>
    </row>
    <row r="109" spans="1:7" ht="14.5" x14ac:dyDescent="0.35">
      <c r="A109" s="6">
        <v>45958</v>
      </c>
      <c r="B109" t="s">
        <v>14</v>
      </c>
      <c r="C109" t="s">
        <v>11</v>
      </c>
      <c r="D109">
        <v>2078</v>
      </c>
      <c r="E109">
        <v>223</v>
      </c>
      <c r="F109">
        <v>194</v>
      </c>
      <c r="G109"/>
    </row>
    <row r="110" spans="1:7" ht="14.5" x14ac:dyDescent="0.35">
      <c r="A110" s="6">
        <v>45978</v>
      </c>
      <c r="B110" t="s">
        <v>14</v>
      </c>
      <c r="C110" t="s">
        <v>11</v>
      </c>
      <c r="D110">
        <v>6015</v>
      </c>
      <c r="E110">
        <v>109</v>
      </c>
      <c r="F110">
        <v>92</v>
      </c>
      <c r="G110"/>
    </row>
    <row r="111" spans="1:7" ht="14.5" x14ac:dyDescent="0.35">
      <c r="A111" s="6">
        <v>45871</v>
      </c>
      <c r="B111" t="s">
        <v>14</v>
      </c>
      <c r="C111" t="s">
        <v>11</v>
      </c>
      <c r="D111">
        <v>2184</v>
      </c>
      <c r="E111">
        <v>474</v>
      </c>
      <c r="F111">
        <v>182</v>
      </c>
      <c r="G111"/>
    </row>
    <row r="112" spans="1:7" ht="14.5" x14ac:dyDescent="0.35">
      <c r="A112" s="6">
        <v>45997</v>
      </c>
      <c r="B112" t="s">
        <v>14</v>
      </c>
      <c r="C112" t="s">
        <v>11</v>
      </c>
      <c r="D112">
        <v>2021</v>
      </c>
      <c r="E112">
        <v>362</v>
      </c>
      <c r="F112">
        <v>235</v>
      </c>
      <c r="G112"/>
    </row>
    <row r="113" spans="1:7" ht="14.5" x14ac:dyDescent="0.35">
      <c r="A113" s="6">
        <v>45998</v>
      </c>
      <c r="B113" t="s">
        <v>14</v>
      </c>
      <c r="C113" t="s">
        <v>11</v>
      </c>
      <c r="D113">
        <v>5396</v>
      </c>
      <c r="E113">
        <v>332</v>
      </c>
      <c r="F113">
        <v>102</v>
      </c>
      <c r="G113"/>
    </row>
    <row r="114" spans="1:7" ht="14.5" x14ac:dyDescent="0.35">
      <c r="A114" s="6">
        <v>46005</v>
      </c>
      <c r="B114" t="s">
        <v>14</v>
      </c>
      <c r="C114" t="s">
        <v>11</v>
      </c>
      <c r="D114">
        <v>6551</v>
      </c>
      <c r="E114">
        <v>284</v>
      </c>
      <c r="F114">
        <v>194</v>
      </c>
      <c r="G114"/>
    </row>
    <row r="115" spans="1:7" ht="14.5" x14ac:dyDescent="0.35">
      <c r="A115" s="6">
        <v>45915</v>
      </c>
      <c r="B115" t="s">
        <v>14</v>
      </c>
      <c r="C115" t="s">
        <v>11</v>
      </c>
      <c r="D115">
        <v>3973</v>
      </c>
      <c r="E115">
        <v>194</v>
      </c>
      <c r="F115">
        <v>71</v>
      </c>
      <c r="G115"/>
    </row>
    <row r="116" spans="1:7" ht="14.5" x14ac:dyDescent="0.35">
      <c r="A116" s="6">
        <v>46019</v>
      </c>
      <c r="B116" t="s">
        <v>14</v>
      </c>
      <c r="C116" t="s">
        <v>11</v>
      </c>
      <c r="D116">
        <v>3685</v>
      </c>
      <c r="E116">
        <v>359</v>
      </c>
      <c r="F116">
        <v>205</v>
      </c>
      <c r="G116"/>
    </row>
    <row r="117" spans="1:7" ht="14.5" x14ac:dyDescent="0.35">
      <c r="A117" s="6">
        <v>45967</v>
      </c>
      <c r="B117" t="s">
        <v>15</v>
      </c>
      <c r="C117" t="s">
        <v>7</v>
      </c>
      <c r="D117">
        <v>3519</v>
      </c>
      <c r="E117">
        <v>315</v>
      </c>
      <c r="F117">
        <v>301</v>
      </c>
      <c r="G117"/>
    </row>
    <row r="118" spans="1:7" ht="14.5" x14ac:dyDescent="0.35">
      <c r="A118" s="6">
        <v>45969</v>
      </c>
      <c r="B118" t="s">
        <v>15</v>
      </c>
      <c r="C118" t="s">
        <v>7</v>
      </c>
      <c r="D118">
        <v>3917</v>
      </c>
      <c r="E118">
        <v>188</v>
      </c>
      <c r="F118">
        <v>128</v>
      </c>
      <c r="G118"/>
    </row>
    <row r="119" spans="1:7" ht="14.5" x14ac:dyDescent="0.35">
      <c r="A119" s="6">
        <v>45955</v>
      </c>
      <c r="B119" t="s">
        <v>15</v>
      </c>
      <c r="C119" t="s">
        <v>8</v>
      </c>
      <c r="D119">
        <v>4830</v>
      </c>
      <c r="E119">
        <v>436</v>
      </c>
      <c r="F119">
        <v>57</v>
      </c>
      <c r="G119"/>
    </row>
    <row r="120" spans="1:7" ht="14.5" x14ac:dyDescent="0.35">
      <c r="A120" s="6">
        <v>45965</v>
      </c>
      <c r="B120" t="s">
        <v>15</v>
      </c>
      <c r="C120" t="s">
        <v>8</v>
      </c>
      <c r="D120">
        <v>2224</v>
      </c>
      <c r="E120">
        <v>453</v>
      </c>
      <c r="F120">
        <v>347</v>
      </c>
      <c r="G120"/>
    </row>
    <row r="121" spans="1:7" ht="14.5" x14ac:dyDescent="0.35">
      <c r="A121" s="6">
        <v>45885</v>
      </c>
      <c r="B121" t="s">
        <v>15</v>
      </c>
      <c r="C121" t="s">
        <v>8</v>
      </c>
      <c r="D121">
        <v>2637</v>
      </c>
      <c r="E121">
        <v>333</v>
      </c>
      <c r="F121">
        <v>5</v>
      </c>
      <c r="G121"/>
    </row>
    <row r="122" spans="1:7" ht="14.5" x14ac:dyDescent="0.35">
      <c r="A122" s="6">
        <v>45980</v>
      </c>
      <c r="B122" t="s">
        <v>15</v>
      </c>
      <c r="C122" t="s">
        <v>8</v>
      </c>
      <c r="D122">
        <v>5854</v>
      </c>
      <c r="E122">
        <v>441</v>
      </c>
      <c r="F122">
        <v>278</v>
      </c>
      <c r="G122"/>
    </row>
    <row r="123" spans="1:7" ht="14.5" x14ac:dyDescent="0.35">
      <c r="A123" s="6">
        <v>45897</v>
      </c>
      <c r="B123" t="s">
        <v>15</v>
      </c>
      <c r="C123" t="s">
        <v>8</v>
      </c>
      <c r="D123">
        <v>3395</v>
      </c>
      <c r="E123">
        <v>315</v>
      </c>
      <c r="F123">
        <v>108</v>
      </c>
      <c r="G123"/>
    </row>
    <row r="124" spans="1:7" ht="14.5" x14ac:dyDescent="0.35">
      <c r="A124" s="6">
        <v>45973</v>
      </c>
      <c r="B124" t="s">
        <v>15</v>
      </c>
      <c r="C124" t="s">
        <v>8</v>
      </c>
      <c r="D124">
        <v>2363</v>
      </c>
      <c r="E124">
        <v>405</v>
      </c>
      <c r="F124">
        <v>386</v>
      </c>
      <c r="G124"/>
    </row>
    <row r="125" spans="1:7" ht="14.5" x14ac:dyDescent="0.35">
      <c r="A125" s="6">
        <v>45928</v>
      </c>
      <c r="B125" t="s">
        <v>15</v>
      </c>
      <c r="C125" t="s">
        <v>9</v>
      </c>
      <c r="D125">
        <v>6812</v>
      </c>
      <c r="E125">
        <v>869</v>
      </c>
      <c r="F125">
        <v>95</v>
      </c>
      <c r="G125"/>
    </row>
    <row r="126" spans="1:7" ht="14.5" x14ac:dyDescent="0.35">
      <c r="A126" s="6">
        <v>45971</v>
      </c>
      <c r="B126" t="s">
        <v>15</v>
      </c>
      <c r="C126" t="s">
        <v>9</v>
      </c>
      <c r="D126">
        <v>3904</v>
      </c>
      <c r="E126">
        <v>895</v>
      </c>
      <c r="F126">
        <v>96</v>
      </c>
      <c r="G126"/>
    </row>
    <row r="127" spans="1:7" ht="14.5" x14ac:dyDescent="0.35">
      <c r="A127" s="6">
        <v>45891</v>
      </c>
      <c r="B127" t="s">
        <v>15</v>
      </c>
      <c r="C127" t="s">
        <v>9</v>
      </c>
      <c r="D127">
        <v>3025</v>
      </c>
      <c r="E127">
        <v>216</v>
      </c>
      <c r="F127">
        <v>78</v>
      </c>
      <c r="G127"/>
    </row>
    <row r="128" spans="1:7" ht="14.5" x14ac:dyDescent="0.35">
      <c r="A128" s="6">
        <v>45983</v>
      </c>
      <c r="B128" t="s">
        <v>15</v>
      </c>
      <c r="C128" t="s">
        <v>9</v>
      </c>
      <c r="D128">
        <v>3037</v>
      </c>
      <c r="E128">
        <v>145</v>
      </c>
      <c r="F128">
        <v>134</v>
      </c>
      <c r="G128"/>
    </row>
    <row r="129" spans="1:7" ht="14.5" x14ac:dyDescent="0.35">
      <c r="A129" s="6">
        <v>45990</v>
      </c>
      <c r="B129" t="s">
        <v>15</v>
      </c>
      <c r="C129" t="s">
        <v>9</v>
      </c>
      <c r="D129">
        <v>5641</v>
      </c>
      <c r="E129">
        <v>254</v>
      </c>
      <c r="F129">
        <v>230</v>
      </c>
      <c r="G129"/>
    </row>
    <row r="130" spans="1:7" ht="14.5" x14ac:dyDescent="0.35">
      <c r="A130" s="6">
        <v>45873</v>
      </c>
      <c r="B130" t="s">
        <v>15</v>
      </c>
      <c r="C130" t="s">
        <v>9</v>
      </c>
      <c r="D130">
        <v>6475</v>
      </c>
      <c r="E130">
        <v>310</v>
      </c>
      <c r="F130">
        <v>98</v>
      </c>
      <c r="G130"/>
    </row>
    <row r="131" spans="1:7" ht="14.5" x14ac:dyDescent="0.35">
      <c r="A131" s="6">
        <v>45896</v>
      </c>
      <c r="B131" t="s">
        <v>15</v>
      </c>
      <c r="C131" t="s">
        <v>9</v>
      </c>
      <c r="D131">
        <v>6861</v>
      </c>
      <c r="E131">
        <v>306</v>
      </c>
      <c r="F131">
        <v>157</v>
      </c>
      <c r="G131"/>
    </row>
    <row r="132" spans="1:7" ht="14.5" x14ac:dyDescent="0.35">
      <c r="A132" s="6">
        <v>45921</v>
      </c>
      <c r="B132" t="s">
        <v>15</v>
      </c>
      <c r="C132" t="s">
        <v>9</v>
      </c>
      <c r="D132">
        <v>2654</v>
      </c>
      <c r="E132">
        <v>297</v>
      </c>
      <c r="F132">
        <v>146</v>
      </c>
      <c r="G132"/>
    </row>
    <row r="133" spans="1:7" ht="14.5" x14ac:dyDescent="0.35">
      <c r="A133" s="6">
        <v>46015</v>
      </c>
      <c r="B133" t="s">
        <v>15</v>
      </c>
      <c r="C133" t="s">
        <v>9</v>
      </c>
      <c r="D133">
        <v>2223</v>
      </c>
      <c r="E133">
        <v>409</v>
      </c>
      <c r="F133">
        <v>258</v>
      </c>
      <c r="G133"/>
    </row>
    <row r="134" spans="1:7" ht="14.5" x14ac:dyDescent="0.35">
      <c r="A134" s="6">
        <v>45943</v>
      </c>
      <c r="B134" t="s">
        <v>15</v>
      </c>
      <c r="C134" t="s">
        <v>9</v>
      </c>
      <c r="D134">
        <v>5008</v>
      </c>
      <c r="E134">
        <v>330</v>
      </c>
      <c r="F134">
        <v>35</v>
      </c>
      <c r="G134"/>
    </row>
    <row r="135" spans="1:7" ht="14.5" x14ac:dyDescent="0.35">
      <c r="A135" s="6">
        <v>45986</v>
      </c>
      <c r="B135" t="s">
        <v>15</v>
      </c>
      <c r="C135" t="s">
        <v>9</v>
      </c>
      <c r="D135">
        <v>6372</v>
      </c>
      <c r="E135">
        <v>258</v>
      </c>
      <c r="F135">
        <v>186</v>
      </c>
      <c r="G135"/>
    </row>
    <row r="136" spans="1:7" ht="14.5" x14ac:dyDescent="0.35">
      <c r="A136" s="6">
        <v>46011</v>
      </c>
      <c r="B136" t="s">
        <v>15</v>
      </c>
      <c r="C136" t="s">
        <v>9</v>
      </c>
      <c r="D136">
        <v>6081</v>
      </c>
      <c r="E136">
        <v>461</v>
      </c>
      <c r="F136">
        <v>367</v>
      </c>
      <c r="G136"/>
    </row>
    <row r="137" spans="1:7" ht="14.5" x14ac:dyDescent="0.35">
      <c r="A137" s="6">
        <v>45889</v>
      </c>
      <c r="B137" t="s">
        <v>15</v>
      </c>
      <c r="C137" t="s">
        <v>10</v>
      </c>
      <c r="D137">
        <v>6661</v>
      </c>
      <c r="E137">
        <v>160</v>
      </c>
      <c r="F137">
        <v>83</v>
      </c>
      <c r="G137"/>
    </row>
    <row r="138" spans="1:7" ht="14.5" x14ac:dyDescent="0.35">
      <c r="A138" s="6">
        <v>45905</v>
      </c>
      <c r="B138" t="s">
        <v>15</v>
      </c>
      <c r="C138" t="s">
        <v>10</v>
      </c>
      <c r="D138">
        <v>2916</v>
      </c>
      <c r="E138">
        <v>195</v>
      </c>
      <c r="F138">
        <v>113</v>
      </c>
      <c r="G138"/>
    </row>
    <row r="139" spans="1:7" ht="14.5" x14ac:dyDescent="0.35">
      <c r="A139" s="6">
        <v>45989</v>
      </c>
      <c r="B139" t="s">
        <v>15</v>
      </c>
      <c r="C139" t="s">
        <v>10</v>
      </c>
      <c r="D139">
        <v>6137</v>
      </c>
      <c r="E139">
        <v>414</v>
      </c>
      <c r="F139">
        <v>309</v>
      </c>
      <c r="G139"/>
    </row>
    <row r="140" spans="1:7" ht="14.5" x14ac:dyDescent="0.35">
      <c r="A140" s="6">
        <v>46001</v>
      </c>
      <c r="B140" t="s">
        <v>15</v>
      </c>
      <c r="C140" t="s">
        <v>10</v>
      </c>
      <c r="D140">
        <v>3145</v>
      </c>
      <c r="E140">
        <v>263</v>
      </c>
      <c r="F140">
        <v>186</v>
      </c>
      <c r="G140"/>
    </row>
    <row r="141" spans="1:7" ht="14.5" x14ac:dyDescent="0.35">
      <c r="A141" s="6">
        <v>46017</v>
      </c>
      <c r="B141" t="s">
        <v>15</v>
      </c>
      <c r="C141" t="s">
        <v>10</v>
      </c>
      <c r="D141">
        <v>4057</v>
      </c>
      <c r="E141">
        <v>362</v>
      </c>
      <c r="F141">
        <v>288</v>
      </c>
      <c r="G141"/>
    </row>
    <row r="142" spans="1:7" ht="14.5" x14ac:dyDescent="0.35">
      <c r="A142" s="6">
        <v>46000</v>
      </c>
      <c r="B142" t="s">
        <v>15</v>
      </c>
      <c r="C142" t="s">
        <v>10</v>
      </c>
      <c r="D142">
        <v>4708</v>
      </c>
      <c r="E142">
        <v>276</v>
      </c>
      <c r="F142">
        <v>22</v>
      </c>
      <c r="G142"/>
    </row>
    <row r="143" spans="1:7" ht="14.5" x14ac:dyDescent="0.35">
      <c r="A143" s="6">
        <v>45900</v>
      </c>
      <c r="B143" t="s">
        <v>15</v>
      </c>
      <c r="C143" t="s">
        <v>10</v>
      </c>
      <c r="D143">
        <v>3181</v>
      </c>
      <c r="E143">
        <v>339</v>
      </c>
      <c r="F143">
        <v>49</v>
      </c>
      <c r="G143"/>
    </row>
    <row r="144" spans="1:7" ht="14.5" x14ac:dyDescent="0.35">
      <c r="A144" s="6">
        <v>45950</v>
      </c>
      <c r="B144" t="s">
        <v>15</v>
      </c>
      <c r="C144" t="s">
        <v>10</v>
      </c>
      <c r="D144">
        <v>5345</v>
      </c>
      <c r="E144">
        <v>480</v>
      </c>
      <c r="F144">
        <v>414</v>
      </c>
      <c r="G144"/>
    </row>
    <row r="145" spans="1:7" ht="14.5" x14ac:dyDescent="0.35">
      <c r="A145" s="6">
        <v>45977</v>
      </c>
      <c r="B145" t="s">
        <v>15</v>
      </c>
      <c r="C145" t="s">
        <v>10</v>
      </c>
      <c r="D145">
        <v>3188</v>
      </c>
      <c r="E145">
        <v>300</v>
      </c>
      <c r="F145">
        <v>36</v>
      </c>
      <c r="G145"/>
    </row>
    <row r="146" spans="1:7" ht="14.5" x14ac:dyDescent="0.35">
      <c r="A146" s="6">
        <v>46008</v>
      </c>
      <c r="B146" t="s">
        <v>15</v>
      </c>
      <c r="C146" t="s">
        <v>10</v>
      </c>
      <c r="D146">
        <v>2543</v>
      </c>
      <c r="E146">
        <v>339</v>
      </c>
      <c r="F146">
        <v>33</v>
      </c>
      <c r="G146"/>
    </row>
    <row r="147" spans="1:7" ht="14.5" x14ac:dyDescent="0.35">
      <c r="A147" s="6">
        <v>45964</v>
      </c>
      <c r="B147" t="s">
        <v>15</v>
      </c>
      <c r="C147" t="s">
        <v>10</v>
      </c>
      <c r="D147">
        <v>4674</v>
      </c>
      <c r="E147">
        <v>162</v>
      </c>
      <c r="F147">
        <v>157</v>
      </c>
      <c r="G147"/>
    </row>
    <row r="148" spans="1:7" ht="14.5" x14ac:dyDescent="0.35">
      <c r="A148" s="6">
        <v>45932</v>
      </c>
      <c r="B148" t="s">
        <v>15</v>
      </c>
      <c r="C148" t="s">
        <v>10</v>
      </c>
      <c r="D148">
        <v>3010</v>
      </c>
      <c r="E148">
        <v>184</v>
      </c>
      <c r="F148">
        <v>54</v>
      </c>
      <c r="G148"/>
    </row>
    <row r="149" spans="1:7" ht="14.5" x14ac:dyDescent="0.35">
      <c r="A149" s="6">
        <v>45887</v>
      </c>
      <c r="B149" t="s">
        <v>15</v>
      </c>
      <c r="C149" t="s">
        <v>11</v>
      </c>
      <c r="D149">
        <v>5476</v>
      </c>
      <c r="E149">
        <v>221</v>
      </c>
      <c r="F149">
        <v>44</v>
      </c>
      <c r="G149"/>
    </row>
    <row r="150" spans="1:7" ht="14.5" x14ac:dyDescent="0.35">
      <c r="A150" s="6">
        <v>45898</v>
      </c>
      <c r="B150" t="s">
        <v>15</v>
      </c>
      <c r="C150" t="s">
        <v>11</v>
      </c>
      <c r="D150">
        <v>3777</v>
      </c>
      <c r="E150">
        <v>451</v>
      </c>
      <c r="F150">
        <v>227</v>
      </c>
      <c r="G150"/>
    </row>
    <row r="151" spans="1:7" ht="14.5" x14ac:dyDescent="0.35">
      <c r="A151" s="6">
        <v>45906</v>
      </c>
      <c r="B151" t="s">
        <v>15</v>
      </c>
      <c r="C151" t="s">
        <v>11</v>
      </c>
      <c r="D151">
        <v>2089</v>
      </c>
      <c r="E151">
        <v>381</v>
      </c>
      <c r="F151">
        <v>224</v>
      </c>
      <c r="G151"/>
    </row>
    <row r="152" spans="1:7" ht="14.5" x14ac:dyDescent="0.35">
      <c r="A152" s="6">
        <v>45967</v>
      </c>
      <c r="B152" t="s">
        <v>16</v>
      </c>
      <c r="C152" t="s">
        <v>7</v>
      </c>
      <c r="D152">
        <v>3519</v>
      </c>
      <c r="E152">
        <v>315</v>
      </c>
      <c r="F152">
        <v>301</v>
      </c>
      <c r="G152"/>
    </row>
    <row r="153" spans="1:7" ht="14.5" x14ac:dyDescent="0.35">
      <c r="A153" s="6">
        <v>45969</v>
      </c>
      <c r="B153" t="s">
        <v>16</v>
      </c>
      <c r="C153" t="s">
        <v>7</v>
      </c>
      <c r="D153">
        <v>3917</v>
      </c>
      <c r="E153">
        <v>188</v>
      </c>
      <c r="F153">
        <v>128</v>
      </c>
      <c r="G153"/>
    </row>
    <row r="154" spans="1:7" ht="14.5" x14ac:dyDescent="0.35">
      <c r="A154" s="6">
        <v>45955</v>
      </c>
      <c r="B154" t="s">
        <v>16</v>
      </c>
      <c r="C154" t="s">
        <v>8</v>
      </c>
      <c r="D154">
        <v>4830</v>
      </c>
      <c r="E154">
        <v>436</v>
      </c>
      <c r="F154">
        <v>57</v>
      </c>
      <c r="G154"/>
    </row>
    <row r="155" spans="1:7" ht="14.5" x14ac:dyDescent="0.35">
      <c r="A155" s="6">
        <v>45965</v>
      </c>
      <c r="B155" t="s">
        <v>16</v>
      </c>
      <c r="C155" t="s">
        <v>8</v>
      </c>
      <c r="D155">
        <v>2224</v>
      </c>
      <c r="E155">
        <v>453</v>
      </c>
      <c r="F155">
        <v>347</v>
      </c>
      <c r="G15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8CA7-8C5F-4552-B665-9C38C93D7B3E}">
  <dimension ref="A3:F260"/>
  <sheetViews>
    <sheetView workbookViewId="0">
      <selection activeCell="B327" sqref="B235:B327"/>
    </sheetView>
  </sheetViews>
  <sheetFormatPr defaultRowHeight="14.5" x14ac:dyDescent="0.35"/>
  <cols>
    <col min="1" max="1" width="18" customWidth="1"/>
    <col min="2" max="2" width="16" customWidth="1"/>
    <col min="3" max="3" width="15.59765625" customWidth="1"/>
    <col min="4" max="4" width="11.796875" customWidth="1"/>
    <col min="5" max="5" width="28.5" customWidth="1"/>
    <col min="6" max="6" width="27.296875" customWidth="1"/>
  </cols>
  <sheetData>
    <row r="3" spans="1:3" x14ac:dyDescent="0.35">
      <c r="A3" s="1" t="s">
        <v>17</v>
      </c>
      <c r="B3" t="s">
        <v>19</v>
      </c>
    </row>
    <row r="4" spans="1:3" x14ac:dyDescent="0.35">
      <c r="A4" s="2" t="s">
        <v>24</v>
      </c>
      <c r="B4">
        <v>3226</v>
      </c>
    </row>
    <row r="5" spans="1:3" x14ac:dyDescent="0.35">
      <c r="A5" s="2" t="s">
        <v>25</v>
      </c>
      <c r="B5">
        <v>3363</v>
      </c>
      <c r="C5" s="7"/>
    </row>
    <row r="6" spans="1:3" x14ac:dyDescent="0.35">
      <c r="A6" s="2" t="s">
        <v>26</v>
      </c>
      <c r="B6">
        <v>4668</v>
      </c>
    </row>
    <row r="7" spans="1:3" x14ac:dyDescent="0.35">
      <c r="A7" s="2" t="s">
        <v>27</v>
      </c>
      <c r="B7">
        <v>6348</v>
      </c>
    </row>
    <row r="8" spans="1:3" x14ac:dyDescent="0.35">
      <c r="A8" s="2" t="s">
        <v>28</v>
      </c>
      <c r="B8">
        <v>3919</v>
      </c>
    </row>
    <row r="9" spans="1:3" x14ac:dyDescent="0.35">
      <c r="A9" s="2" t="s">
        <v>18</v>
      </c>
      <c r="B9">
        <v>21524</v>
      </c>
    </row>
    <row r="143" spans="1:2" x14ac:dyDescent="0.35">
      <c r="A143" s="1" t="s">
        <v>17</v>
      </c>
      <c r="B143" t="s">
        <v>19</v>
      </c>
    </row>
    <row r="144" spans="1:2" x14ac:dyDescent="0.35">
      <c r="A144" s="2" t="s">
        <v>12</v>
      </c>
      <c r="B144">
        <v>4073</v>
      </c>
    </row>
    <row r="145" spans="1:2" x14ac:dyDescent="0.35">
      <c r="A145" s="2" t="s">
        <v>13</v>
      </c>
      <c r="B145">
        <v>4626</v>
      </c>
    </row>
    <row r="146" spans="1:2" x14ac:dyDescent="0.35">
      <c r="A146" s="2" t="s">
        <v>14</v>
      </c>
      <c r="B146">
        <v>3559</v>
      </c>
    </row>
    <row r="147" spans="1:2" x14ac:dyDescent="0.35">
      <c r="A147" s="2" t="s">
        <v>15</v>
      </c>
      <c r="B147">
        <v>5729</v>
      </c>
    </row>
    <row r="148" spans="1:2" x14ac:dyDescent="0.35">
      <c r="A148" s="2" t="s">
        <v>6</v>
      </c>
      <c r="B148">
        <v>2704</v>
      </c>
    </row>
    <row r="149" spans="1:2" x14ac:dyDescent="0.35">
      <c r="A149" s="2" t="s">
        <v>16</v>
      </c>
      <c r="B149">
        <v>833</v>
      </c>
    </row>
    <row r="150" spans="1:2" x14ac:dyDescent="0.35">
      <c r="A150" s="2" t="s">
        <v>18</v>
      </c>
      <c r="B150">
        <v>21524</v>
      </c>
    </row>
    <row r="187" spans="1:2" x14ac:dyDescent="0.35">
      <c r="A187" s="1" t="s">
        <v>17</v>
      </c>
      <c r="B187" t="s">
        <v>20</v>
      </c>
    </row>
    <row r="188" spans="1:2" x14ac:dyDescent="0.35">
      <c r="A188" s="2" t="s">
        <v>12</v>
      </c>
      <c r="B188">
        <v>145515</v>
      </c>
    </row>
    <row r="189" spans="1:2" x14ac:dyDescent="0.35">
      <c r="A189" s="2" t="s">
        <v>13</v>
      </c>
      <c r="B189">
        <v>155876</v>
      </c>
    </row>
    <row r="190" spans="1:2" x14ac:dyDescent="0.35">
      <c r="A190" s="2" t="s">
        <v>14</v>
      </c>
      <c r="B190">
        <v>114745</v>
      </c>
    </row>
    <row r="191" spans="1:2" x14ac:dyDescent="0.35">
      <c r="A191" s="2" t="s">
        <v>15</v>
      </c>
      <c r="B191">
        <v>147739</v>
      </c>
    </row>
    <row r="192" spans="1:2" x14ac:dyDescent="0.35">
      <c r="A192" s="2" t="s">
        <v>6</v>
      </c>
      <c r="B192">
        <v>111316</v>
      </c>
    </row>
    <row r="193" spans="1:2" x14ac:dyDescent="0.35">
      <c r="A193" s="2" t="s">
        <v>16</v>
      </c>
      <c r="B193">
        <v>14490</v>
      </c>
    </row>
    <row r="194" spans="1:2" x14ac:dyDescent="0.35">
      <c r="A194" s="2" t="s">
        <v>18</v>
      </c>
      <c r="B194">
        <v>689681</v>
      </c>
    </row>
    <row r="235" spans="1:5" x14ac:dyDescent="0.35">
      <c r="A235" s="1" t="s">
        <v>17</v>
      </c>
      <c r="B235" t="s">
        <v>19</v>
      </c>
      <c r="C235" t="s">
        <v>20</v>
      </c>
      <c r="D235" t="s">
        <v>21</v>
      </c>
      <c r="E235" t="s">
        <v>23</v>
      </c>
    </row>
    <row r="236" spans="1:5" x14ac:dyDescent="0.35">
      <c r="A236" s="2" t="s">
        <v>12</v>
      </c>
      <c r="B236" s="4">
        <v>4073</v>
      </c>
      <c r="C236" s="4">
        <v>145515</v>
      </c>
      <c r="D236" s="4">
        <v>10693</v>
      </c>
      <c r="E236" s="5">
        <f t="shared" ref="E236:E242" si="0">B236/D236</f>
        <v>0.38090339474422519</v>
      </c>
    </row>
    <row r="237" spans="1:5" x14ac:dyDescent="0.35">
      <c r="A237" s="2" t="s">
        <v>13</v>
      </c>
      <c r="B237" s="4">
        <v>4626</v>
      </c>
      <c r="C237" s="4">
        <v>155876</v>
      </c>
      <c r="D237" s="4">
        <v>9391</v>
      </c>
      <c r="E237" s="5">
        <f t="shared" si="0"/>
        <v>0.49259929719944628</v>
      </c>
    </row>
    <row r="238" spans="1:5" x14ac:dyDescent="0.35">
      <c r="A238" s="2" t="s">
        <v>14</v>
      </c>
      <c r="B238" s="4">
        <v>3559</v>
      </c>
      <c r="C238" s="4">
        <v>114745</v>
      </c>
      <c r="D238" s="4">
        <v>8299</v>
      </c>
      <c r="E238" s="5">
        <f t="shared" si="0"/>
        <v>0.42884684901795395</v>
      </c>
    </row>
    <row r="239" spans="1:5" x14ac:dyDescent="0.35">
      <c r="A239" s="2" t="s">
        <v>15</v>
      </c>
      <c r="B239" s="4">
        <v>5729</v>
      </c>
      <c r="C239" s="4">
        <v>147739</v>
      </c>
      <c r="D239" s="4">
        <v>12163</v>
      </c>
      <c r="E239" s="5">
        <f t="shared" si="0"/>
        <v>0.47101866315876018</v>
      </c>
    </row>
    <row r="240" spans="1:5" x14ac:dyDescent="0.35">
      <c r="A240" s="2" t="s">
        <v>6</v>
      </c>
      <c r="B240" s="4">
        <v>2704</v>
      </c>
      <c r="C240" s="4">
        <v>111316</v>
      </c>
      <c r="D240" s="4">
        <v>7356</v>
      </c>
      <c r="E240" s="5">
        <f t="shared" si="0"/>
        <v>0.36759108210984232</v>
      </c>
    </row>
    <row r="241" spans="1:6" x14ac:dyDescent="0.35">
      <c r="A241" s="2" t="s">
        <v>16</v>
      </c>
      <c r="B241" s="4">
        <v>833</v>
      </c>
      <c r="C241" s="4">
        <v>14490</v>
      </c>
      <c r="D241" s="4">
        <v>1392</v>
      </c>
      <c r="E241" s="5">
        <f t="shared" si="0"/>
        <v>0.59841954022988508</v>
      </c>
    </row>
    <row r="242" spans="1:6" x14ac:dyDescent="0.35">
      <c r="A242" s="2" t="s">
        <v>18</v>
      </c>
      <c r="B242" s="4">
        <v>21524</v>
      </c>
      <c r="C242" s="4">
        <v>689681</v>
      </c>
      <c r="D242" s="4">
        <v>49294</v>
      </c>
      <c r="E242" s="5">
        <f t="shared" si="0"/>
        <v>0.43664543352132107</v>
      </c>
    </row>
    <row r="254" spans="1:6" x14ac:dyDescent="0.35">
      <c r="B254" s="1" t="s">
        <v>17</v>
      </c>
      <c r="C254" t="s">
        <v>19</v>
      </c>
      <c r="D254" t="s">
        <v>21</v>
      </c>
      <c r="E254" t="s">
        <v>20</v>
      </c>
      <c r="F254" t="s">
        <v>22</v>
      </c>
    </row>
    <row r="255" spans="1:6" x14ac:dyDescent="0.35">
      <c r="B255" s="2" t="s">
        <v>7</v>
      </c>
      <c r="C255">
        <v>2601</v>
      </c>
      <c r="D255">
        <v>4080</v>
      </c>
      <c r="E255">
        <v>64250</v>
      </c>
      <c r="F255" s="5">
        <f t="shared" ref="F255:F260" si="1">C255/D255</f>
        <v>0.63749999999999996</v>
      </c>
    </row>
    <row r="256" spans="1:6" x14ac:dyDescent="0.35">
      <c r="B256" s="2" t="s">
        <v>8</v>
      </c>
      <c r="C256">
        <v>3958</v>
      </c>
      <c r="D256">
        <v>10620</v>
      </c>
      <c r="E256">
        <v>134743</v>
      </c>
      <c r="F256" s="5">
        <f t="shared" si="1"/>
        <v>0.37269303201506593</v>
      </c>
    </row>
    <row r="257" spans="2:6" x14ac:dyDescent="0.35">
      <c r="B257" s="2" t="s">
        <v>9</v>
      </c>
      <c r="C257">
        <v>5067</v>
      </c>
      <c r="D257">
        <v>14544</v>
      </c>
      <c r="E257">
        <v>199547</v>
      </c>
      <c r="F257" s="5">
        <f t="shared" si="1"/>
        <v>0.34839108910891087</v>
      </c>
    </row>
    <row r="258" spans="2:6" x14ac:dyDescent="0.35">
      <c r="B258" s="2" t="s">
        <v>10</v>
      </c>
      <c r="C258">
        <v>6372</v>
      </c>
      <c r="D258">
        <v>13112</v>
      </c>
      <c r="E258">
        <v>190466</v>
      </c>
      <c r="F258" s="5">
        <f t="shared" si="1"/>
        <v>0.48596705308114702</v>
      </c>
    </row>
    <row r="259" spans="2:6" x14ac:dyDescent="0.35">
      <c r="B259" s="2" t="s">
        <v>11</v>
      </c>
      <c r="C259">
        <v>3526</v>
      </c>
      <c r="D259">
        <v>6938</v>
      </c>
      <c r="E259">
        <v>100675</v>
      </c>
      <c r="F259" s="5">
        <f t="shared" si="1"/>
        <v>0.50821562409916399</v>
      </c>
    </row>
    <row r="260" spans="2:6" x14ac:dyDescent="0.35">
      <c r="B260" s="2" t="s">
        <v>18</v>
      </c>
      <c r="C260">
        <v>21524</v>
      </c>
      <c r="D260">
        <v>49294</v>
      </c>
      <c r="E260">
        <v>689681</v>
      </c>
      <c r="F260" s="5">
        <f t="shared" si="1"/>
        <v>0.43664543352132107</v>
      </c>
    </row>
  </sheetData>
  <sortState xmlns:xlrd2="http://schemas.microsoft.com/office/spreadsheetml/2017/richdata2" columnSort="1" ref="A235:D242">
    <sortCondition descending="1" ref="C235"/>
  </sortState>
  <pageMargins left="0.7" right="0.7" top="0.75" bottom="0.75" header="0.3" footer="0.3"/>
  <drawing r:id="rId6"/>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965E-8420-486B-AD76-E492261A052D}">
  <dimension ref="A1:K22"/>
  <sheetViews>
    <sheetView showGridLines="0" topLeftCell="A118" zoomScale="95" zoomScaleNormal="80" workbookViewId="0">
      <selection activeCell="G80" sqref="G80"/>
    </sheetView>
  </sheetViews>
  <sheetFormatPr defaultRowHeight="14.5" x14ac:dyDescent="0.35"/>
  <cols>
    <col min="1" max="1" width="19" customWidth="1"/>
    <col min="2" max="2" width="23" bestFit="1" customWidth="1"/>
    <col min="3" max="3" width="19.09765625" bestFit="1" customWidth="1"/>
    <col min="4" max="4" width="13" bestFit="1" customWidth="1"/>
    <col min="5" max="5" width="17.19921875" bestFit="1" customWidth="1"/>
    <col min="6" max="6" width="16" bestFit="1" customWidth="1"/>
  </cols>
  <sheetData>
    <row r="1" spans="1:10" ht="14" customHeight="1" x14ac:dyDescent="0.35">
      <c r="A1" s="12" t="s">
        <v>42</v>
      </c>
      <c r="B1" s="12"/>
      <c r="C1" s="12"/>
      <c r="D1" s="12"/>
      <c r="E1" s="12"/>
      <c r="F1" s="12"/>
      <c r="G1" s="12"/>
    </row>
    <row r="2" spans="1:10" ht="14" customHeight="1" x14ac:dyDescent="0.35">
      <c r="A2" s="12"/>
      <c r="B2" s="12"/>
      <c r="C2" s="12"/>
      <c r="D2" s="12"/>
      <c r="E2" s="12"/>
      <c r="F2" s="12"/>
      <c r="G2" s="12"/>
    </row>
    <row r="3" spans="1:10" x14ac:dyDescent="0.35">
      <c r="A3" s="12"/>
      <c r="B3" s="12"/>
      <c r="C3" s="12"/>
      <c r="D3" s="12"/>
      <c r="E3" s="12"/>
      <c r="F3" s="12"/>
      <c r="G3" s="12"/>
    </row>
    <row r="4" spans="1:10" x14ac:dyDescent="0.35">
      <c r="A4" s="19" t="s">
        <v>41</v>
      </c>
      <c r="B4" s="19"/>
    </row>
    <row r="6" spans="1:10" x14ac:dyDescent="0.35">
      <c r="B6" s="25" t="s">
        <v>17</v>
      </c>
      <c r="C6" s="25" t="s">
        <v>20</v>
      </c>
      <c r="D6" s="25" t="s">
        <v>21</v>
      </c>
      <c r="E6" s="25" t="s">
        <v>19</v>
      </c>
      <c r="F6" s="25" t="s">
        <v>32</v>
      </c>
      <c r="I6" s="19"/>
    </row>
    <row r="7" spans="1:10" x14ac:dyDescent="0.35">
      <c r="B7" s="9" t="s">
        <v>12</v>
      </c>
      <c r="C7" s="10">
        <v>145515</v>
      </c>
      <c r="D7" s="10">
        <v>10693</v>
      </c>
      <c r="E7" s="10">
        <v>4073</v>
      </c>
      <c r="F7" s="11">
        <f t="shared" ref="F7:F13" si="0">E7/D7</f>
        <v>0.38090339474422519</v>
      </c>
    </row>
    <row r="8" spans="1:10" x14ac:dyDescent="0.35">
      <c r="B8" s="9" t="s">
        <v>13</v>
      </c>
      <c r="C8" s="10">
        <v>155876</v>
      </c>
      <c r="D8" s="10">
        <v>9391</v>
      </c>
      <c r="E8" s="10">
        <v>4626</v>
      </c>
      <c r="F8" s="11">
        <f t="shared" si="0"/>
        <v>0.49259929719944628</v>
      </c>
    </row>
    <row r="9" spans="1:10" x14ac:dyDescent="0.35">
      <c r="B9" s="9" t="s">
        <v>14</v>
      </c>
      <c r="C9" s="10">
        <v>114745</v>
      </c>
      <c r="D9" s="10">
        <v>8299</v>
      </c>
      <c r="E9" s="10">
        <v>3559</v>
      </c>
      <c r="F9" s="11">
        <f t="shared" si="0"/>
        <v>0.42884684901795395</v>
      </c>
      <c r="J9" s="19"/>
    </row>
    <row r="10" spans="1:10" x14ac:dyDescent="0.35">
      <c r="B10" s="9" t="s">
        <v>15</v>
      </c>
      <c r="C10" s="10">
        <v>147739</v>
      </c>
      <c r="D10" s="10">
        <v>12163</v>
      </c>
      <c r="E10" s="10">
        <v>5729</v>
      </c>
      <c r="F10" s="11">
        <f t="shared" si="0"/>
        <v>0.47101866315876018</v>
      </c>
    </row>
    <row r="11" spans="1:10" x14ac:dyDescent="0.35">
      <c r="B11" s="9" t="s">
        <v>6</v>
      </c>
      <c r="C11" s="10">
        <v>111316</v>
      </c>
      <c r="D11" s="10">
        <v>7356</v>
      </c>
      <c r="E11" s="10">
        <v>2704</v>
      </c>
      <c r="F11" s="11">
        <f t="shared" si="0"/>
        <v>0.36759108210984232</v>
      </c>
    </row>
    <row r="12" spans="1:10" x14ac:dyDescent="0.35">
      <c r="B12" s="9" t="s">
        <v>16</v>
      </c>
      <c r="C12" s="10">
        <v>14490</v>
      </c>
      <c r="D12" s="10">
        <v>1392</v>
      </c>
      <c r="E12" s="10">
        <v>833</v>
      </c>
      <c r="F12" s="11">
        <f t="shared" si="0"/>
        <v>0.59841954022988508</v>
      </c>
    </row>
    <row r="13" spans="1:10" x14ac:dyDescent="0.35">
      <c r="B13" s="31" t="s">
        <v>18</v>
      </c>
      <c r="C13" s="32">
        <v>689681</v>
      </c>
      <c r="D13" s="32">
        <v>49294</v>
      </c>
      <c r="E13" s="32">
        <v>21524</v>
      </c>
      <c r="F13" s="30">
        <f t="shared" si="0"/>
        <v>0.43664543352132107</v>
      </c>
    </row>
    <row r="16" spans="1:10" x14ac:dyDescent="0.35">
      <c r="B16" s="26" t="s">
        <v>17</v>
      </c>
      <c r="C16" s="26" t="s">
        <v>20</v>
      </c>
      <c r="D16" s="26" t="s">
        <v>21</v>
      </c>
      <c r="E16" s="26" t="s">
        <v>19</v>
      </c>
      <c r="F16" s="27" t="s">
        <v>32</v>
      </c>
    </row>
    <row r="17" spans="2:11" x14ac:dyDescent="0.35">
      <c r="B17" s="2" t="s">
        <v>7</v>
      </c>
      <c r="C17" s="4">
        <v>64250</v>
      </c>
      <c r="D17" s="4">
        <v>4080</v>
      </c>
      <c r="E17" s="4">
        <v>2601</v>
      </c>
      <c r="F17" s="5">
        <f t="shared" ref="F17:F22" si="1">E17/D17</f>
        <v>0.63749999999999996</v>
      </c>
    </row>
    <row r="18" spans="2:11" x14ac:dyDescent="0.35">
      <c r="B18" s="2" t="s">
        <v>8</v>
      </c>
      <c r="C18" s="4">
        <v>134743</v>
      </c>
      <c r="D18" s="4">
        <v>10620</v>
      </c>
      <c r="E18" s="4">
        <v>3958</v>
      </c>
      <c r="F18" s="5">
        <f t="shared" si="1"/>
        <v>0.37269303201506593</v>
      </c>
    </row>
    <row r="19" spans="2:11" x14ac:dyDescent="0.35">
      <c r="B19" s="2" t="s">
        <v>9</v>
      </c>
      <c r="C19" s="4">
        <v>199547</v>
      </c>
      <c r="D19" s="4">
        <v>14544</v>
      </c>
      <c r="E19" s="4">
        <v>5067</v>
      </c>
      <c r="F19" s="5">
        <f t="shared" si="1"/>
        <v>0.34839108910891087</v>
      </c>
    </row>
    <row r="20" spans="2:11" x14ac:dyDescent="0.35">
      <c r="B20" s="2" t="s">
        <v>10</v>
      </c>
      <c r="C20" s="4">
        <v>190466</v>
      </c>
      <c r="D20" s="4">
        <v>13112</v>
      </c>
      <c r="E20" s="4">
        <v>6372</v>
      </c>
      <c r="F20" s="5">
        <f t="shared" si="1"/>
        <v>0.48596705308114702</v>
      </c>
    </row>
    <row r="21" spans="2:11" x14ac:dyDescent="0.35">
      <c r="B21" s="2" t="s">
        <v>11</v>
      </c>
      <c r="C21" s="4">
        <v>100675</v>
      </c>
      <c r="D21" s="4">
        <v>6938</v>
      </c>
      <c r="E21" s="4">
        <v>3526</v>
      </c>
      <c r="F21" s="5">
        <f t="shared" si="1"/>
        <v>0.50821562409916399</v>
      </c>
      <c r="K21" s="19"/>
    </row>
    <row r="22" spans="2:11" x14ac:dyDescent="0.35">
      <c r="B22" s="28" t="s">
        <v>18</v>
      </c>
      <c r="C22" s="29">
        <v>689681</v>
      </c>
      <c r="D22" s="29">
        <v>49294</v>
      </c>
      <c r="E22" s="29">
        <v>21524</v>
      </c>
      <c r="F22" s="30">
        <f t="shared" si="1"/>
        <v>0.43664543352132107</v>
      </c>
    </row>
  </sheetData>
  <mergeCells count="1">
    <mergeCell ref="A1:G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06A9-CE90-4660-A8EF-70D345BE9D70}">
  <dimension ref="A1:E22"/>
  <sheetViews>
    <sheetView showGridLines="0" showRowColHeaders="0" tabSelected="1" topLeftCell="A5" zoomScaleNormal="100" workbookViewId="0">
      <selection activeCell="A10" sqref="A10"/>
    </sheetView>
  </sheetViews>
  <sheetFormatPr defaultRowHeight="14.5" x14ac:dyDescent="0.35"/>
  <cols>
    <col min="1" max="1" width="14.19921875" customWidth="1"/>
    <col min="2" max="2" width="16" customWidth="1"/>
    <col min="3" max="3" width="11.296875" customWidth="1"/>
    <col min="4" max="4" width="14.5" customWidth="1"/>
    <col min="5" max="5" width="13.796875" customWidth="1"/>
  </cols>
  <sheetData>
    <row r="1" spans="1:5" x14ac:dyDescent="0.35">
      <c r="A1" s="17" t="s">
        <v>35</v>
      </c>
      <c r="B1" s="17"/>
      <c r="C1" s="17"/>
      <c r="D1" s="17"/>
      <c r="E1" s="17"/>
    </row>
    <row r="2" spans="1:5" x14ac:dyDescent="0.35">
      <c r="A2" s="17"/>
      <c r="B2" s="17"/>
      <c r="C2" s="17"/>
      <c r="D2" s="17"/>
      <c r="E2" s="17"/>
    </row>
    <row r="3" spans="1:5" x14ac:dyDescent="0.35">
      <c r="A3" s="17"/>
      <c r="B3" s="17"/>
      <c r="C3" s="17"/>
      <c r="D3" s="17"/>
      <c r="E3" s="17"/>
    </row>
    <row r="4" spans="1:5" x14ac:dyDescent="0.35">
      <c r="A4" s="17"/>
      <c r="B4" s="17"/>
      <c r="C4" s="17"/>
      <c r="D4" s="17"/>
      <c r="E4" s="17"/>
    </row>
    <row r="7" spans="1:5" x14ac:dyDescent="0.35">
      <c r="A7" t="s">
        <v>36</v>
      </c>
    </row>
    <row r="8" spans="1:5" x14ac:dyDescent="0.35">
      <c r="A8" t="s">
        <v>38</v>
      </c>
    </row>
    <row r="10" spans="1:5" x14ac:dyDescent="0.35">
      <c r="A10" t="s">
        <v>46</v>
      </c>
    </row>
    <row r="12" spans="1:5" x14ac:dyDescent="0.35">
      <c r="A12" t="s">
        <v>37</v>
      </c>
    </row>
    <row r="14" spans="1:5" x14ac:dyDescent="0.35">
      <c r="A14" t="s">
        <v>39</v>
      </c>
    </row>
    <row r="16" spans="1:5" x14ac:dyDescent="0.35">
      <c r="A16" s="18" t="s">
        <v>17</v>
      </c>
      <c r="B16" s="19" t="s">
        <v>20</v>
      </c>
      <c r="C16" s="19" t="s">
        <v>21</v>
      </c>
      <c r="D16" s="19" t="s">
        <v>19</v>
      </c>
      <c r="E16" s="20" t="s">
        <v>32</v>
      </c>
    </row>
    <row r="17" spans="1:5" x14ac:dyDescent="0.35">
      <c r="A17" s="2" t="s">
        <v>7</v>
      </c>
      <c r="B17" s="4">
        <v>64250</v>
      </c>
      <c r="C17" s="4">
        <v>4080</v>
      </c>
      <c r="D17" s="4">
        <v>2601</v>
      </c>
      <c r="E17" s="5">
        <f t="shared" ref="E17:E22" si="0">D17/C17</f>
        <v>0.63749999999999996</v>
      </c>
    </row>
    <row r="18" spans="1:5" x14ac:dyDescent="0.35">
      <c r="A18" s="2" t="s">
        <v>8</v>
      </c>
      <c r="B18" s="4">
        <v>134743</v>
      </c>
      <c r="C18" s="4">
        <v>10620</v>
      </c>
      <c r="D18" s="4">
        <v>3958</v>
      </c>
      <c r="E18" s="5">
        <f t="shared" si="0"/>
        <v>0.37269303201506593</v>
      </c>
    </row>
    <row r="19" spans="1:5" x14ac:dyDescent="0.35">
      <c r="A19" s="2" t="s">
        <v>9</v>
      </c>
      <c r="B19" s="4">
        <v>199547</v>
      </c>
      <c r="C19" s="4">
        <v>14544</v>
      </c>
      <c r="D19" s="4">
        <v>5067</v>
      </c>
      <c r="E19" s="5">
        <f t="shared" si="0"/>
        <v>0.34839108910891087</v>
      </c>
    </row>
    <row r="20" spans="1:5" x14ac:dyDescent="0.35">
      <c r="A20" s="2" t="s">
        <v>10</v>
      </c>
      <c r="B20" s="4">
        <v>190466</v>
      </c>
      <c r="C20" s="4">
        <v>13112</v>
      </c>
      <c r="D20" s="4">
        <v>6372</v>
      </c>
      <c r="E20" s="5">
        <f t="shared" si="0"/>
        <v>0.48596705308114702</v>
      </c>
    </row>
    <row r="21" spans="1:5" x14ac:dyDescent="0.35">
      <c r="A21" s="2" t="s">
        <v>11</v>
      </c>
      <c r="B21" s="4">
        <v>100675</v>
      </c>
      <c r="C21" s="4">
        <v>6938</v>
      </c>
      <c r="D21" s="4">
        <v>3526</v>
      </c>
      <c r="E21" s="5">
        <f t="shared" si="0"/>
        <v>0.50821562409916399</v>
      </c>
    </row>
    <row r="22" spans="1:5" x14ac:dyDescent="0.35">
      <c r="A22" s="21" t="s">
        <v>18</v>
      </c>
      <c r="B22" s="22">
        <v>689681</v>
      </c>
      <c r="C22" s="22">
        <v>49294</v>
      </c>
      <c r="D22" s="22">
        <v>21524</v>
      </c>
      <c r="E22" s="23">
        <f t="shared" si="0"/>
        <v>0.43664543352132107</v>
      </c>
    </row>
  </sheetData>
  <mergeCells count="1">
    <mergeCell ref="A1:E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BC174-454D-4C87-ADD3-2DAFA730493E}">
  <dimension ref="A1:F18"/>
  <sheetViews>
    <sheetView showGridLines="0" showRowColHeaders="0" workbookViewId="0">
      <selection activeCell="A5" sqref="A5"/>
    </sheetView>
  </sheetViews>
  <sheetFormatPr defaultRowHeight="14.5" x14ac:dyDescent="0.35"/>
  <cols>
    <col min="1" max="1" width="73.69921875" bestFit="1" customWidth="1"/>
    <col min="2" max="2" width="19.09765625" bestFit="1" customWidth="1"/>
    <col min="3" max="3" width="13" bestFit="1" customWidth="1"/>
    <col min="4" max="4" width="17.19921875" bestFit="1" customWidth="1"/>
    <col min="5" max="5" width="16" bestFit="1" customWidth="1"/>
  </cols>
  <sheetData>
    <row r="1" spans="1:6" x14ac:dyDescent="0.35">
      <c r="A1" s="12" t="s">
        <v>31</v>
      </c>
      <c r="B1" s="12"/>
      <c r="C1" s="12"/>
      <c r="D1" s="12"/>
      <c r="E1" s="12"/>
      <c r="F1" s="12"/>
    </row>
    <row r="2" spans="1:6" x14ac:dyDescent="0.35">
      <c r="A2" s="12"/>
      <c r="B2" s="12"/>
      <c r="C2" s="12"/>
      <c r="D2" s="12"/>
      <c r="E2" s="12"/>
      <c r="F2" s="12"/>
    </row>
    <row r="3" spans="1:6" x14ac:dyDescent="0.35">
      <c r="A3" s="12"/>
      <c r="B3" s="12"/>
      <c r="C3" s="12"/>
      <c r="D3" s="12"/>
      <c r="E3" s="12"/>
      <c r="F3" s="12"/>
    </row>
    <row r="5" spans="1:6" x14ac:dyDescent="0.35">
      <c r="A5" t="s">
        <v>45</v>
      </c>
    </row>
    <row r="7" spans="1:6" x14ac:dyDescent="0.35">
      <c r="A7" t="s">
        <v>34</v>
      </c>
    </row>
    <row r="9" spans="1:6" x14ac:dyDescent="0.35">
      <c r="D9" s="8"/>
    </row>
    <row r="11" spans="1:6" x14ac:dyDescent="0.35">
      <c r="A11" s="13" t="s">
        <v>17</v>
      </c>
      <c r="B11" s="13" t="s">
        <v>20</v>
      </c>
      <c r="C11" s="13" t="s">
        <v>21</v>
      </c>
      <c r="D11" s="13" t="s">
        <v>19</v>
      </c>
      <c r="E11" s="13" t="s">
        <v>32</v>
      </c>
    </row>
    <row r="12" spans="1:6" x14ac:dyDescent="0.35">
      <c r="A12" s="9" t="s">
        <v>12</v>
      </c>
      <c r="B12" s="10">
        <v>145515</v>
      </c>
      <c r="C12" s="10">
        <v>10693</v>
      </c>
      <c r="D12" s="10">
        <v>4073</v>
      </c>
      <c r="E12" s="11">
        <f t="shared" ref="E12:E18" si="0">D12/C12</f>
        <v>0.38090339474422519</v>
      </c>
    </row>
    <row r="13" spans="1:6" x14ac:dyDescent="0.35">
      <c r="A13" s="9" t="s">
        <v>13</v>
      </c>
      <c r="B13" s="10">
        <v>155876</v>
      </c>
      <c r="C13" s="10">
        <v>9391</v>
      </c>
      <c r="D13" s="10">
        <v>4626</v>
      </c>
      <c r="E13" s="11">
        <f t="shared" si="0"/>
        <v>0.49259929719944628</v>
      </c>
    </row>
    <row r="14" spans="1:6" x14ac:dyDescent="0.35">
      <c r="A14" s="9" t="s">
        <v>14</v>
      </c>
      <c r="B14" s="10">
        <v>114745</v>
      </c>
      <c r="C14" s="10">
        <v>8299</v>
      </c>
      <c r="D14" s="10">
        <v>3559</v>
      </c>
      <c r="E14" s="11">
        <f t="shared" si="0"/>
        <v>0.42884684901795395</v>
      </c>
    </row>
    <row r="15" spans="1:6" x14ac:dyDescent="0.35">
      <c r="A15" s="9" t="s">
        <v>15</v>
      </c>
      <c r="B15" s="10">
        <v>147739</v>
      </c>
      <c r="C15" s="10">
        <v>12163</v>
      </c>
      <c r="D15" s="10">
        <v>5729</v>
      </c>
      <c r="E15" s="11">
        <f t="shared" si="0"/>
        <v>0.47101866315876018</v>
      </c>
    </row>
    <row r="16" spans="1:6" x14ac:dyDescent="0.35">
      <c r="A16" s="9" t="s">
        <v>6</v>
      </c>
      <c r="B16" s="10">
        <v>111316</v>
      </c>
      <c r="C16" s="10">
        <v>7356</v>
      </c>
      <c r="D16" s="10">
        <v>2704</v>
      </c>
      <c r="E16" s="11">
        <f t="shared" si="0"/>
        <v>0.36759108210984232</v>
      </c>
    </row>
    <row r="17" spans="1:5" x14ac:dyDescent="0.35">
      <c r="A17" s="9" t="s">
        <v>16</v>
      </c>
      <c r="B17" s="10">
        <v>14490</v>
      </c>
      <c r="C17" s="10">
        <v>1392</v>
      </c>
      <c r="D17" s="10">
        <v>833</v>
      </c>
      <c r="E17" s="11">
        <f t="shared" si="0"/>
        <v>0.59841954022988508</v>
      </c>
    </row>
    <row r="18" spans="1:5" x14ac:dyDescent="0.35">
      <c r="A18" s="14" t="s">
        <v>18</v>
      </c>
      <c r="B18" s="15">
        <v>689681</v>
      </c>
      <c r="C18" s="15">
        <v>49294</v>
      </c>
      <c r="D18" s="15">
        <v>21524</v>
      </c>
      <c r="E18" s="16">
        <f t="shared" si="0"/>
        <v>0.43664543352132107</v>
      </c>
    </row>
  </sheetData>
  <sortState xmlns:xlrd2="http://schemas.microsoft.com/office/spreadsheetml/2017/richdata2" ref="E12:E18">
    <sortCondition descending="1" ref="E12:E18"/>
  </sortState>
  <mergeCells count="1">
    <mergeCell ref="A1:F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18E8-5A41-49D0-B011-69149183FF85}">
  <dimension ref="A1:H12"/>
  <sheetViews>
    <sheetView showGridLines="0" showRowColHeaders="0" workbookViewId="0">
      <selection activeCell="F4" sqref="F4"/>
    </sheetView>
  </sheetViews>
  <sheetFormatPr defaultRowHeight="14.5" x14ac:dyDescent="0.35"/>
  <sheetData>
    <row r="1" spans="1:8" ht="14.5" customHeight="1" x14ac:dyDescent="0.35">
      <c r="A1" s="24" t="s">
        <v>29</v>
      </c>
      <c r="B1" s="24"/>
      <c r="C1" s="24"/>
      <c r="D1" s="24"/>
      <c r="E1" s="24"/>
      <c r="F1" s="24"/>
      <c r="G1" s="24"/>
      <c r="H1" s="24"/>
    </row>
    <row r="2" spans="1:8" ht="14.5" customHeight="1" x14ac:dyDescent="0.35">
      <c r="A2" s="24"/>
      <c r="B2" s="24"/>
      <c r="C2" s="24"/>
      <c r="D2" s="24"/>
      <c r="E2" s="24"/>
      <c r="F2" s="24"/>
      <c r="G2" s="24"/>
      <c r="H2" s="24"/>
    </row>
    <row r="5" spans="1:8" x14ac:dyDescent="0.35">
      <c r="A5" t="s">
        <v>33</v>
      </c>
    </row>
    <row r="6" spans="1:8" x14ac:dyDescent="0.35">
      <c r="A6" t="s">
        <v>40</v>
      </c>
    </row>
    <row r="8" spans="1:8" x14ac:dyDescent="0.35">
      <c r="A8" t="s">
        <v>30</v>
      </c>
    </row>
    <row r="10" spans="1:8" x14ac:dyDescent="0.35">
      <c r="A10" t="s">
        <v>43</v>
      </c>
    </row>
    <row r="12" spans="1:8" x14ac:dyDescent="0.35">
      <c r="A12" t="s">
        <v>44</v>
      </c>
    </row>
  </sheetData>
  <mergeCells count="1">
    <mergeCell ref="A1:H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86582D-0DAF-45BB-A60F-0DE6D0E9A2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Campaign Metrics</vt:lpstr>
      <vt:lpstr>Charts &amp; Tables</vt:lpstr>
      <vt:lpstr>Dashboard</vt:lpstr>
      <vt:lpstr>Location Performance</vt:lpstr>
      <vt:lpstr>Campaign Performance</vt:lpstr>
      <vt:lpstr>Monthly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Latrell Mpiana</dc:creator>
  <cp:lastModifiedBy>Latrell Mpiana</cp:lastModifiedBy>
  <dcterms:created xsi:type="dcterms:W3CDTF">2026-03-29T16:47:12Z</dcterms:created>
  <dcterms:modified xsi:type="dcterms:W3CDTF">2026-04-01T00:51:42Z</dcterms:modified>
</cp:coreProperties>
</file>